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Nkateko Mohube\Downloads\"/>
    </mc:Choice>
  </mc:AlternateContent>
  <xr:revisionPtr revIDLastSave="0" documentId="13_ncr:1_{93F5BBF3-0DB7-4275-A9B6-97A80B9C8456}" xr6:coauthVersionLast="47" xr6:coauthVersionMax="47" xr10:uidLastSave="{00000000-0000-0000-0000-000000000000}"/>
  <bookViews>
    <workbookView xWindow="-110" yWindow="-110" windowWidth="19420" windowHeight="10300" firstSheet="3" activeTab="4" xr2:uid="{CA0269D5-6F21-498B-B82A-D283931744F0}"/>
  </bookViews>
  <sheets>
    <sheet name="Lapse_data" sheetId="2" r:id="rId1"/>
    <sheet name="Death_data" sheetId="5" r:id="rId2"/>
    <sheet name="Inception_data" sheetId="10" r:id="rId3"/>
    <sheet name="Policies_In-Force" sheetId="11" r:id="rId4"/>
    <sheet name="Calcs" sheetId="9" r:id="rId5"/>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1" i="9" l="1"/>
  <c r="B62" i="9"/>
  <c r="B63" i="9"/>
  <c r="B64" i="9"/>
  <c r="B65" i="9"/>
  <c r="B66" i="9"/>
  <c r="B67" i="9"/>
  <c r="B68" i="9"/>
  <c r="B69" i="9"/>
  <c r="B60" i="9"/>
  <c r="N60" i="9" l="1"/>
  <c r="B47" i="9"/>
  <c r="B48" i="9"/>
  <c r="B49" i="9"/>
  <c r="B50" i="9"/>
  <c r="B51" i="9"/>
  <c r="B52" i="9"/>
  <c r="B53" i="9"/>
  <c r="B54" i="9"/>
  <c r="B55" i="9"/>
  <c r="B56" i="9"/>
  <c r="B82" i="9" s="1"/>
  <c r="C103" i="9" a="1"/>
  <c r="C103" i="9" s="1"/>
  <c r="D103" i="9" a="1"/>
  <c r="D103" i="9" s="1"/>
  <c r="E103" i="9" a="1"/>
  <c r="E103" i="9" s="1"/>
  <c r="F103" i="9" a="1"/>
  <c r="F103" i="9" s="1"/>
  <c r="G103" i="9" a="1"/>
  <c r="G103" i="9" s="1"/>
  <c r="H103" i="9" a="1"/>
  <c r="H103" i="9" s="1"/>
  <c r="I103" i="9" a="1"/>
  <c r="I103" i="9" s="1"/>
  <c r="J103" i="9" a="1"/>
  <c r="J103" i="9" s="1"/>
  <c r="K103" i="9" a="1"/>
  <c r="K103" i="9" s="1"/>
  <c r="L103" i="9" a="1"/>
  <c r="L103" i="9" s="1"/>
  <c r="M103" i="9" a="1"/>
  <c r="M103" i="9" s="1"/>
  <c r="Z103" i="9" a="1"/>
  <c r="Z103" i="9"/>
  <c r="AA103" i="9" a="1"/>
  <c r="AA103" i="9" s="1"/>
  <c r="AB103" i="9" a="1"/>
  <c r="AB103" i="9" s="1"/>
  <c r="AC103" i="9" a="1"/>
  <c r="AC103" i="9" s="1"/>
  <c r="AD103" i="9" a="1"/>
  <c r="AD103" i="9" s="1"/>
  <c r="AE103" i="9" a="1"/>
  <c r="AE103" i="9" s="1"/>
  <c r="AF103" i="9" a="1"/>
  <c r="AF103" i="9" s="1"/>
  <c r="AG103" i="9" a="1"/>
  <c r="AG103" i="9" s="1"/>
  <c r="AH103" i="9" a="1"/>
  <c r="AH103" i="9" s="1"/>
  <c r="AI103" i="9" a="1"/>
  <c r="AI103" i="9" s="1"/>
  <c r="AJ103" i="9" a="1"/>
  <c r="AJ103" i="9" s="1"/>
  <c r="AK103" i="9" a="1"/>
  <c r="AK103" i="9" s="1"/>
  <c r="AL103" i="9" a="1"/>
  <c r="AL103" i="9" s="1"/>
  <c r="AM103" i="9" a="1"/>
  <c r="AM103" i="9" s="1"/>
  <c r="AN103" i="9" a="1"/>
  <c r="AN103" i="9" s="1"/>
  <c r="AO103" i="9" a="1"/>
  <c r="AO103" i="9" s="1"/>
  <c r="AP103" i="9" a="1"/>
  <c r="AP103" i="9" s="1"/>
  <c r="AQ103" i="9" a="1"/>
  <c r="AQ103" i="9" s="1"/>
  <c r="AR103" i="9" a="1"/>
  <c r="AR103" i="9" s="1"/>
  <c r="AS103" i="9" a="1"/>
  <c r="AS103" i="9" s="1"/>
  <c r="AT103" i="9" a="1"/>
  <c r="AT103" i="9" s="1"/>
  <c r="AU103" i="9" a="1"/>
  <c r="AU103" i="9" s="1"/>
  <c r="AV103" i="9" a="1"/>
  <c r="AV103" i="9" s="1"/>
  <c r="AW103" i="9" a="1"/>
  <c r="AW103" i="9" s="1"/>
  <c r="AX103" i="9" a="1"/>
  <c r="AX103" i="9" s="1"/>
  <c r="AY103" i="9" a="1"/>
  <c r="AY103" i="9" s="1"/>
  <c r="AZ103" i="9" a="1"/>
  <c r="AZ103" i="9" s="1"/>
  <c r="BA103" i="9" a="1"/>
  <c r="BA103" i="9" s="1"/>
  <c r="BB103" i="9" a="1"/>
  <c r="BB103" i="9" s="1"/>
  <c r="BC103" i="9" a="1"/>
  <c r="BC103" i="9" s="1"/>
  <c r="BD103" i="9" a="1"/>
  <c r="BD103" i="9" s="1"/>
  <c r="BE103" i="9" a="1"/>
  <c r="BE103" i="9" s="1"/>
  <c r="BF103" i="9" a="1"/>
  <c r="BF103" i="9" s="1"/>
  <c r="BG103" i="9" a="1"/>
  <c r="BG103" i="9" s="1"/>
  <c r="BH103" i="9" a="1"/>
  <c r="BH103" i="9" s="1"/>
  <c r="BI103" i="9" a="1"/>
  <c r="BI103" i="9" s="1"/>
  <c r="BJ103" i="9" a="1"/>
  <c r="BJ103" i="9" s="1"/>
  <c r="BK103" i="9" a="1"/>
  <c r="BK103" i="9" s="1"/>
  <c r="BL103" i="9" a="1"/>
  <c r="BL103" i="9" s="1"/>
  <c r="BM103" i="9" a="1"/>
  <c r="BM103" i="9" s="1"/>
  <c r="BN103" i="9" a="1"/>
  <c r="BN103" i="9" s="1"/>
  <c r="BO103" i="9" a="1"/>
  <c r="BO103" i="9" s="1"/>
  <c r="BP103" i="9" a="1"/>
  <c r="BP103" i="9" s="1"/>
  <c r="BQ103" i="9" a="1"/>
  <c r="BQ103" i="9" s="1"/>
  <c r="BR103" i="9" a="1"/>
  <c r="BR103" i="9" s="1"/>
  <c r="BS103" i="9" a="1"/>
  <c r="BS103" i="9" s="1"/>
  <c r="BT103" i="9" a="1"/>
  <c r="BT103" i="9" s="1"/>
  <c r="BU103" i="9" a="1"/>
  <c r="BU103" i="9" s="1"/>
  <c r="BV103" i="9" a="1"/>
  <c r="BV103" i="9" s="1"/>
  <c r="BW103" i="9" a="1"/>
  <c r="BW103" i="9" s="1"/>
  <c r="BX103" i="9" a="1"/>
  <c r="BX103" i="9" s="1"/>
  <c r="BY103" i="9" a="1"/>
  <c r="BY103" i="9" s="1"/>
  <c r="BZ103" i="9" a="1"/>
  <c r="BZ103" i="9" s="1"/>
  <c r="CA103" i="9" a="1"/>
  <c r="CA103" i="9" s="1"/>
  <c r="CB103" i="9" a="1"/>
  <c r="CB103" i="9" s="1"/>
  <c r="CC103" i="9" a="1"/>
  <c r="CC103" i="9" s="1"/>
  <c r="CD103" i="9" a="1"/>
  <c r="CD103" i="9" s="1"/>
  <c r="CE103" i="9" a="1"/>
  <c r="CE103" i="9" s="1"/>
  <c r="CF103" i="9" a="1"/>
  <c r="CF103" i="9" s="1"/>
  <c r="CG103" i="9" a="1"/>
  <c r="CG103" i="9" s="1"/>
  <c r="CH103" i="9" a="1"/>
  <c r="CH103" i="9" s="1"/>
  <c r="CI103" i="9" a="1"/>
  <c r="CI103" i="9" s="1"/>
  <c r="CJ103" i="9" a="1"/>
  <c r="CJ103" i="9" s="1"/>
  <c r="CK103" i="9" a="1"/>
  <c r="CK103" i="9" s="1"/>
  <c r="CL103" i="9" a="1"/>
  <c r="CL103" i="9" s="1"/>
  <c r="CM103" i="9" a="1"/>
  <c r="CM103" i="9" s="1"/>
  <c r="CN103" i="9" a="1"/>
  <c r="CN103" i="9" s="1"/>
  <c r="CO103" i="9" a="1"/>
  <c r="CO103" i="9" s="1"/>
  <c r="CP103" i="9" a="1"/>
  <c r="CP103" i="9" s="1"/>
  <c r="CQ103" i="9" a="1"/>
  <c r="CQ103" i="9" s="1"/>
  <c r="CR103" i="9" a="1"/>
  <c r="CR103" i="9" s="1"/>
  <c r="CS103" i="9" a="1"/>
  <c r="CS103" i="9" s="1"/>
  <c r="CT103" i="9" a="1"/>
  <c r="CT103" i="9" s="1"/>
  <c r="CU103" i="9" a="1"/>
  <c r="CU103" i="9" s="1"/>
  <c r="CV103" i="9" a="1"/>
  <c r="CV103" i="9" s="1"/>
  <c r="CW103" i="9" a="1"/>
  <c r="CW103" i="9" s="1"/>
  <c r="CX103" i="9" a="1"/>
  <c r="CX103" i="9" s="1"/>
  <c r="CY103" i="9" a="1"/>
  <c r="CY103" i="9" s="1"/>
  <c r="CZ103" i="9" a="1"/>
  <c r="CZ103" i="9" s="1"/>
  <c r="DA103" i="9" a="1"/>
  <c r="DA103" i="9" s="1"/>
  <c r="DB103" i="9" a="1"/>
  <c r="DB103" i="9" s="1"/>
  <c r="DC103" i="9" a="1"/>
  <c r="DC103" i="9" s="1"/>
  <c r="DD103" i="9" a="1"/>
  <c r="DD103" i="9" s="1"/>
  <c r="DE103" i="9" a="1"/>
  <c r="DE103" i="9" s="1"/>
  <c r="DF103" i="9" a="1"/>
  <c r="DF103" i="9" s="1"/>
  <c r="DG103" i="9" a="1"/>
  <c r="DG103" i="9" s="1"/>
  <c r="DH103" i="9" a="1"/>
  <c r="DH103" i="9" s="1"/>
  <c r="DI103" i="9" a="1"/>
  <c r="DI103" i="9" s="1"/>
  <c r="DJ103" i="9" a="1"/>
  <c r="DJ103" i="9" s="1"/>
  <c r="DK103" i="9" a="1"/>
  <c r="DK103" i="9" s="1"/>
  <c r="DL103" i="9" a="1"/>
  <c r="DL103" i="9" s="1"/>
  <c r="DM103" i="9" a="1"/>
  <c r="DM103" i="9" s="1"/>
  <c r="DN103" i="9" a="1"/>
  <c r="DN103" i="9" s="1"/>
  <c r="DO103" i="9" a="1"/>
  <c r="DO103" i="9" s="1"/>
  <c r="DP103" i="9" a="1"/>
  <c r="DP103" i="9" s="1"/>
  <c r="DQ103" i="9" a="1"/>
  <c r="DQ103" i="9" s="1"/>
  <c r="C73" i="9"/>
  <c r="C88" i="9"/>
  <c r="D88" i="9"/>
  <c r="E88" i="9"/>
  <c r="F88" i="9"/>
  <c r="G88" i="9"/>
  <c r="H88" i="9"/>
  <c r="I88" i="9"/>
  <c r="J88" i="9"/>
  <c r="K88" i="9"/>
  <c r="L88" i="9"/>
  <c r="M88" i="9"/>
  <c r="N88" i="9"/>
  <c r="O88" i="9"/>
  <c r="P88" i="9"/>
  <c r="Q88" i="9"/>
  <c r="R88" i="9"/>
  <c r="S88" i="9"/>
  <c r="T88" i="9"/>
  <c r="U88" i="9"/>
  <c r="V88" i="9"/>
  <c r="Q87" i="9"/>
  <c r="R87" i="9"/>
  <c r="S87" i="9"/>
  <c r="T87" i="9"/>
  <c r="U87" i="9"/>
  <c r="V87" i="9"/>
  <c r="C87" i="9"/>
  <c r="D87" i="9"/>
  <c r="E87" i="9"/>
  <c r="F87" i="9"/>
  <c r="G87" i="9"/>
  <c r="H87" i="9"/>
  <c r="I87" i="9"/>
  <c r="J87" i="9"/>
  <c r="K87" i="9"/>
  <c r="L87" i="9"/>
  <c r="M87" i="9"/>
  <c r="N87" i="9"/>
  <c r="O87" i="9"/>
  <c r="P87" i="9"/>
  <c r="C86" i="9"/>
  <c r="D86" i="9"/>
  <c r="E86" i="9"/>
  <c r="F86" i="9"/>
  <c r="G86" i="9"/>
  <c r="H86" i="9"/>
  <c r="I86" i="9"/>
  <c r="J86" i="9"/>
  <c r="K86" i="9"/>
  <c r="L86" i="9"/>
  <c r="M86" i="9"/>
  <c r="O86" i="9"/>
  <c r="P86" i="9"/>
  <c r="Q86" i="9"/>
  <c r="R86" i="9"/>
  <c r="S86" i="9"/>
  <c r="T86" i="9"/>
  <c r="U86" i="9"/>
  <c r="V86" i="9"/>
  <c r="O99" i="9"/>
  <c r="P99" i="9"/>
  <c r="Q99" i="9"/>
  <c r="R99" i="9"/>
  <c r="S99" i="9"/>
  <c r="T99" i="9"/>
  <c r="U99" i="9"/>
  <c r="V99" i="9"/>
  <c r="C99" i="9"/>
  <c r="D99" i="9"/>
  <c r="E99" i="9"/>
  <c r="F99" i="9"/>
  <c r="G99" i="9"/>
  <c r="H99" i="9"/>
  <c r="I99" i="9"/>
  <c r="J99" i="9"/>
  <c r="K99" i="9"/>
  <c r="L99" i="9"/>
  <c r="M99" i="9"/>
  <c r="O95" i="9"/>
  <c r="P95" i="9"/>
  <c r="Q95" i="9"/>
  <c r="R95" i="9"/>
  <c r="S95" i="9"/>
  <c r="T95" i="9"/>
  <c r="U95" i="9"/>
  <c r="V95" i="9"/>
  <c r="C95" i="9"/>
  <c r="D95" i="9"/>
  <c r="E95" i="9"/>
  <c r="F95" i="9"/>
  <c r="G95" i="9"/>
  <c r="H95" i="9"/>
  <c r="I95" i="9"/>
  <c r="J95" i="9"/>
  <c r="K95" i="9"/>
  <c r="L95" i="9"/>
  <c r="M95" i="9"/>
  <c r="V74" i="9"/>
  <c r="V75" i="9"/>
  <c r="V76" i="9"/>
  <c r="V77" i="9"/>
  <c r="V78" i="9"/>
  <c r="V79" i="9"/>
  <c r="V80" i="9"/>
  <c r="V81" i="9"/>
  <c r="V82" i="9"/>
  <c r="U74" i="9"/>
  <c r="U75" i="9"/>
  <c r="U76" i="9"/>
  <c r="U77" i="9"/>
  <c r="U78" i="9"/>
  <c r="U79" i="9"/>
  <c r="U80" i="9"/>
  <c r="U81" i="9"/>
  <c r="U82" i="9"/>
  <c r="T74" i="9"/>
  <c r="T75" i="9"/>
  <c r="T76" i="9"/>
  <c r="T77" i="9"/>
  <c r="T78" i="9"/>
  <c r="T79" i="9"/>
  <c r="T80" i="9"/>
  <c r="T81" i="9"/>
  <c r="T82" i="9"/>
  <c r="S74" i="9"/>
  <c r="S75" i="9"/>
  <c r="S76" i="9"/>
  <c r="S77" i="9"/>
  <c r="S78" i="9"/>
  <c r="S79" i="9"/>
  <c r="S80" i="9"/>
  <c r="S81" i="9"/>
  <c r="S82" i="9"/>
  <c r="R74" i="9"/>
  <c r="R75" i="9"/>
  <c r="R76" i="9"/>
  <c r="R77" i="9"/>
  <c r="R78" i="9"/>
  <c r="R79" i="9"/>
  <c r="R80" i="9"/>
  <c r="R81" i="9"/>
  <c r="R82" i="9"/>
  <c r="Q74" i="9"/>
  <c r="Q75" i="9"/>
  <c r="Q76" i="9"/>
  <c r="Q77" i="9"/>
  <c r="Q78" i="9"/>
  <c r="Q79" i="9"/>
  <c r="Q80" i="9"/>
  <c r="Q81" i="9"/>
  <c r="Q82" i="9"/>
  <c r="P74" i="9"/>
  <c r="P75" i="9"/>
  <c r="P76" i="9"/>
  <c r="P77" i="9"/>
  <c r="P78" i="9"/>
  <c r="P79" i="9"/>
  <c r="P80" i="9"/>
  <c r="P81" i="9"/>
  <c r="P82" i="9"/>
  <c r="O74" i="9"/>
  <c r="O75" i="9"/>
  <c r="O76" i="9"/>
  <c r="O77" i="9"/>
  <c r="O78" i="9"/>
  <c r="O79" i="9"/>
  <c r="O80" i="9"/>
  <c r="O81" i="9"/>
  <c r="O82" i="9"/>
  <c r="N74" i="9"/>
  <c r="N75" i="9"/>
  <c r="N76" i="9"/>
  <c r="N77" i="9"/>
  <c r="N78" i="9"/>
  <c r="N79" i="9"/>
  <c r="N80" i="9"/>
  <c r="N81" i="9"/>
  <c r="N82" i="9"/>
  <c r="M74" i="9"/>
  <c r="M75" i="9"/>
  <c r="M76" i="9"/>
  <c r="M77" i="9"/>
  <c r="M78" i="9"/>
  <c r="M79" i="9"/>
  <c r="M80" i="9"/>
  <c r="M81" i="9"/>
  <c r="M82" i="9"/>
  <c r="M73" i="9"/>
  <c r="L74" i="9"/>
  <c r="L75" i="9"/>
  <c r="L76" i="9"/>
  <c r="L77" i="9"/>
  <c r="L78" i="9"/>
  <c r="L79" i="9"/>
  <c r="L80" i="9"/>
  <c r="L81" i="9"/>
  <c r="L82" i="9"/>
  <c r="K74" i="9"/>
  <c r="K75" i="9"/>
  <c r="K76" i="9"/>
  <c r="K77" i="9"/>
  <c r="K78" i="9"/>
  <c r="K79" i="9"/>
  <c r="K80" i="9"/>
  <c r="K81" i="9"/>
  <c r="K82" i="9"/>
  <c r="J74" i="9"/>
  <c r="J75" i="9"/>
  <c r="J76" i="9"/>
  <c r="J77" i="9"/>
  <c r="J78" i="9"/>
  <c r="J79" i="9"/>
  <c r="J80" i="9"/>
  <c r="J81" i="9"/>
  <c r="J82" i="9"/>
  <c r="I74" i="9"/>
  <c r="I75" i="9"/>
  <c r="I76" i="9"/>
  <c r="I77" i="9"/>
  <c r="I78" i="9"/>
  <c r="I79" i="9"/>
  <c r="I80" i="9"/>
  <c r="I81" i="9"/>
  <c r="I82" i="9"/>
  <c r="H74" i="9"/>
  <c r="H75" i="9"/>
  <c r="H76" i="9"/>
  <c r="H77" i="9"/>
  <c r="H78" i="9"/>
  <c r="H79" i="9"/>
  <c r="H80" i="9"/>
  <c r="H81" i="9"/>
  <c r="H82" i="9"/>
  <c r="G74" i="9"/>
  <c r="G75" i="9"/>
  <c r="G76" i="9"/>
  <c r="G77" i="9"/>
  <c r="G78" i="9"/>
  <c r="G79" i="9"/>
  <c r="G80" i="9"/>
  <c r="G81" i="9"/>
  <c r="G82" i="9"/>
  <c r="F74" i="9"/>
  <c r="F75" i="9"/>
  <c r="F76" i="9"/>
  <c r="F77" i="9"/>
  <c r="F78" i="9"/>
  <c r="F79" i="9"/>
  <c r="F80" i="9"/>
  <c r="F81" i="9"/>
  <c r="F82" i="9"/>
  <c r="E74" i="9"/>
  <c r="E75" i="9"/>
  <c r="E76" i="9"/>
  <c r="E77" i="9"/>
  <c r="E78" i="9"/>
  <c r="E79" i="9"/>
  <c r="E80" i="9"/>
  <c r="E81" i="9"/>
  <c r="E82" i="9"/>
  <c r="D74" i="9"/>
  <c r="D75" i="9"/>
  <c r="D76" i="9"/>
  <c r="D77" i="9"/>
  <c r="D78" i="9"/>
  <c r="D79" i="9"/>
  <c r="D80" i="9"/>
  <c r="D81" i="9"/>
  <c r="D82" i="9"/>
  <c r="C74" i="9"/>
  <c r="C75" i="9"/>
  <c r="C76" i="9"/>
  <c r="C77" i="9"/>
  <c r="C78" i="9"/>
  <c r="C79" i="9"/>
  <c r="C80" i="9"/>
  <c r="C81" i="9"/>
  <c r="C82" i="9"/>
  <c r="B76" i="9"/>
  <c r="B77" i="9"/>
  <c r="B78" i="9"/>
  <c r="B79" i="9"/>
  <c r="B80" i="9"/>
  <c r="D73" i="9"/>
  <c r="E73" i="9"/>
  <c r="F73" i="9"/>
  <c r="G73" i="9"/>
  <c r="H73" i="9"/>
  <c r="I73" i="9"/>
  <c r="J73" i="9"/>
  <c r="K73" i="9"/>
  <c r="L73" i="9"/>
  <c r="N73" i="9"/>
  <c r="N86" i="9" s="1"/>
  <c r="O73" i="9"/>
  <c r="P73" i="9"/>
  <c r="Q73" i="9"/>
  <c r="R73" i="9"/>
  <c r="S73" i="9"/>
  <c r="T73" i="9"/>
  <c r="U73" i="9"/>
  <c r="V73" i="9"/>
  <c r="V61" i="9"/>
  <c r="V62" i="9"/>
  <c r="V63" i="9"/>
  <c r="V64" i="9"/>
  <c r="V65" i="9"/>
  <c r="V66" i="9"/>
  <c r="V67" i="9"/>
  <c r="V68" i="9"/>
  <c r="V69" i="9"/>
  <c r="U61" i="9"/>
  <c r="U62" i="9"/>
  <c r="U63" i="9"/>
  <c r="U64" i="9"/>
  <c r="U65" i="9"/>
  <c r="U66" i="9"/>
  <c r="U67" i="9"/>
  <c r="U68" i="9"/>
  <c r="U69" i="9"/>
  <c r="T61" i="9"/>
  <c r="T62" i="9"/>
  <c r="T63" i="9"/>
  <c r="T64" i="9"/>
  <c r="T65" i="9"/>
  <c r="T66" i="9"/>
  <c r="T67" i="9"/>
  <c r="T68" i="9"/>
  <c r="T69" i="9"/>
  <c r="S61" i="9"/>
  <c r="S62" i="9"/>
  <c r="S63" i="9"/>
  <c r="S64" i="9"/>
  <c r="S65" i="9"/>
  <c r="S66" i="9"/>
  <c r="S67" i="9"/>
  <c r="S68" i="9"/>
  <c r="S69" i="9"/>
  <c r="R61" i="9"/>
  <c r="R62" i="9"/>
  <c r="R63" i="9"/>
  <c r="R64" i="9"/>
  <c r="R65" i="9"/>
  <c r="R66" i="9"/>
  <c r="R67" i="9"/>
  <c r="R68" i="9"/>
  <c r="R69" i="9"/>
  <c r="Q61" i="9"/>
  <c r="Q62" i="9"/>
  <c r="Q63" i="9"/>
  <c r="Q64" i="9"/>
  <c r="Q65" i="9"/>
  <c r="Q66" i="9"/>
  <c r="Q67" i="9"/>
  <c r="Q68" i="9"/>
  <c r="Q69" i="9"/>
  <c r="P61" i="9"/>
  <c r="P62" i="9"/>
  <c r="P63" i="9"/>
  <c r="P64" i="9"/>
  <c r="P65" i="9"/>
  <c r="P66" i="9"/>
  <c r="P67" i="9"/>
  <c r="P68" i="9"/>
  <c r="P69" i="9"/>
  <c r="O61" i="9"/>
  <c r="O62" i="9"/>
  <c r="O63" i="9"/>
  <c r="O64" i="9"/>
  <c r="O65" i="9"/>
  <c r="O66" i="9"/>
  <c r="O67" i="9"/>
  <c r="O68" i="9"/>
  <c r="O69" i="9"/>
  <c r="N61" i="9"/>
  <c r="N62" i="9"/>
  <c r="N63" i="9"/>
  <c r="N64" i="9"/>
  <c r="N65" i="9"/>
  <c r="N66" i="9"/>
  <c r="N67" i="9"/>
  <c r="N68" i="9"/>
  <c r="N69" i="9"/>
  <c r="O60" i="9"/>
  <c r="P60" i="9"/>
  <c r="Q60" i="9"/>
  <c r="R60" i="9"/>
  <c r="S60" i="9"/>
  <c r="T60" i="9"/>
  <c r="U60" i="9"/>
  <c r="V60" i="9"/>
  <c r="M61" i="9"/>
  <c r="M62" i="9"/>
  <c r="M63" i="9"/>
  <c r="M64" i="9"/>
  <c r="M65" i="9"/>
  <c r="M66" i="9"/>
  <c r="M67" i="9"/>
  <c r="M68" i="9"/>
  <c r="M69" i="9"/>
  <c r="L61" i="9"/>
  <c r="L62" i="9"/>
  <c r="L63" i="9"/>
  <c r="L64" i="9"/>
  <c r="L65" i="9"/>
  <c r="L66" i="9"/>
  <c r="L67" i="9"/>
  <c r="L68" i="9"/>
  <c r="L69" i="9"/>
  <c r="K61" i="9"/>
  <c r="K62" i="9"/>
  <c r="K63" i="9"/>
  <c r="K64" i="9"/>
  <c r="K65" i="9"/>
  <c r="K66" i="9"/>
  <c r="K67" i="9"/>
  <c r="K68" i="9"/>
  <c r="K69" i="9"/>
  <c r="J61" i="9"/>
  <c r="J62" i="9"/>
  <c r="J63" i="9"/>
  <c r="J64" i="9"/>
  <c r="J65" i="9"/>
  <c r="J66" i="9"/>
  <c r="J67" i="9"/>
  <c r="J68" i="9"/>
  <c r="J69" i="9"/>
  <c r="I61" i="9"/>
  <c r="I62" i="9"/>
  <c r="I63" i="9"/>
  <c r="I64" i="9"/>
  <c r="I65" i="9"/>
  <c r="I66" i="9"/>
  <c r="I67" i="9"/>
  <c r="I68" i="9"/>
  <c r="I69" i="9"/>
  <c r="H61" i="9"/>
  <c r="H62" i="9"/>
  <c r="H63" i="9"/>
  <c r="H64" i="9"/>
  <c r="H65" i="9"/>
  <c r="H66" i="9"/>
  <c r="H67" i="9"/>
  <c r="H68" i="9"/>
  <c r="H69" i="9"/>
  <c r="G61" i="9"/>
  <c r="G62" i="9"/>
  <c r="G63" i="9"/>
  <c r="G64" i="9"/>
  <c r="G65" i="9"/>
  <c r="G66" i="9"/>
  <c r="G67" i="9"/>
  <c r="G68" i="9"/>
  <c r="G69" i="9"/>
  <c r="F61" i="9"/>
  <c r="F62" i="9"/>
  <c r="F63" i="9"/>
  <c r="F64" i="9"/>
  <c r="F65" i="9"/>
  <c r="F66" i="9"/>
  <c r="F67" i="9"/>
  <c r="F68" i="9"/>
  <c r="F69" i="9"/>
  <c r="E61" i="9"/>
  <c r="E62" i="9"/>
  <c r="E63" i="9"/>
  <c r="E64" i="9"/>
  <c r="E65" i="9"/>
  <c r="E66" i="9"/>
  <c r="E67" i="9"/>
  <c r="E68" i="9"/>
  <c r="E69" i="9"/>
  <c r="D61" i="9"/>
  <c r="D62" i="9"/>
  <c r="D63" i="9"/>
  <c r="D64" i="9"/>
  <c r="D65" i="9"/>
  <c r="D66" i="9"/>
  <c r="D67" i="9"/>
  <c r="D68" i="9"/>
  <c r="D69" i="9"/>
  <c r="C61" i="9"/>
  <c r="C62" i="9"/>
  <c r="C63" i="9"/>
  <c r="C64" i="9"/>
  <c r="C65" i="9"/>
  <c r="C66" i="9"/>
  <c r="C67" i="9"/>
  <c r="C68" i="9"/>
  <c r="C69" i="9"/>
  <c r="D60" i="9"/>
  <c r="E60" i="9"/>
  <c r="F60" i="9"/>
  <c r="G60" i="9"/>
  <c r="H60" i="9"/>
  <c r="I60" i="9"/>
  <c r="J60" i="9"/>
  <c r="K60" i="9"/>
  <c r="L60" i="9"/>
  <c r="M60" i="9"/>
  <c r="C60" i="9"/>
  <c r="B74" i="9"/>
  <c r="B75" i="9"/>
  <c r="B81" i="9"/>
  <c r="W47" i="9"/>
  <c r="W48" i="9"/>
  <c r="W49" i="9"/>
  <c r="W50" i="9"/>
  <c r="W51" i="9"/>
  <c r="W52" i="9"/>
  <c r="W53" i="9"/>
  <c r="W54" i="9"/>
  <c r="W55" i="9"/>
  <c r="W56" i="9"/>
  <c r="V48" i="9"/>
  <c r="V49" i="9"/>
  <c r="V50" i="9"/>
  <c r="V51" i="9"/>
  <c r="V52" i="9"/>
  <c r="V53" i="9"/>
  <c r="V54" i="9"/>
  <c r="V55" i="9"/>
  <c r="V56" i="9"/>
  <c r="U48" i="9"/>
  <c r="U49" i="9"/>
  <c r="U50" i="9"/>
  <c r="U51" i="9"/>
  <c r="U52" i="9"/>
  <c r="U53" i="9"/>
  <c r="U54" i="9"/>
  <c r="U55" i="9"/>
  <c r="U56" i="9"/>
  <c r="T48" i="9"/>
  <c r="T49" i="9"/>
  <c r="T50" i="9"/>
  <c r="T51" i="9"/>
  <c r="T52" i="9"/>
  <c r="T53" i="9"/>
  <c r="T54" i="9"/>
  <c r="T55" i="9"/>
  <c r="T56" i="9"/>
  <c r="S48" i="9"/>
  <c r="S49" i="9"/>
  <c r="S50" i="9"/>
  <c r="S51" i="9"/>
  <c r="S52" i="9"/>
  <c r="S53" i="9"/>
  <c r="S54" i="9"/>
  <c r="S55" i="9"/>
  <c r="S56" i="9"/>
  <c r="R48" i="9"/>
  <c r="R49" i="9"/>
  <c r="R50" i="9"/>
  <c r="R51" i="9"/>
  <c r="R52" i="9"/>
  <c r="R53" i="9"/>
  <c r="R54" i="9"/>
  <c r="R55" i="9"/>
  <c r="R56" i="9"/>
  <c r="Q48" i="9"/>
  <c r="Q49" i="9"/>
  <c r="Q50" i="9"/>
  <c r="Q51" i="9"/>
  <c r="Q52" i="9"/>
  <c r="Q53" i="9"/>
  <c r="Q54" i="9"/>
  <c r="Q55" i="9"/>
  <c r="Q56" i="9"/>
  <c r="P48" i="9"/>
  <c r="P49" i="9"/>
  <c r="P50" i="9"/>
  <c r="P51" i="9"/>
  <c r="P52" i="9"/>
  <c r="P53" i="9"/>
  <c r="P54" i="9"/>
  <c r="P55" i="9"/>
  <c r="P56" i="9"/>
  <c r="O48" i="9"/>
  <c r="O49" i="9"/>
  <c r="O50" i="9"/>
  <c r="O51" i="9"/>
  <c r="O52" i="9"/>
  <c r="O53" i="9"/>
  <c r="O54" i="9"/>
  <c r="O55" i="9"/>
  <c r="O56" i="9"/>
  <c r="N48" i="9"/>
  <c r="N49" i="9"/>
  <c r="N50" i="9"/>
  <c r="N51" i="9"/>
  <c r="N52" i="9"/>
  <c r="N53" i="9"/>
  <c r="N54" i="9"/>
  <c r="N55" i="9"/>
  <c r="N56" i="9"/>
  <c r="O47" i="9"/>
  <c r="P47" i="9"/>
  <c r="Q47" i="9"/>
  <c r="R47" i="9"/>
  <c r="S47" i="9"/>
  <c r="T47" i="9"/>
  <c r="U47" i="9"/>
  <c r="V47" i="9"/>
  <c r="N47" i="9"/>
  <c r="M48" i="9"/>
  <c r="M49" i="9"/>
  <c r="M50" i="9"/>
  <c r="M51" i="9"/>
  <c r="M52" i="9"/>
  <c r="M53" i="9"/>
  <c r="M54" i="9"/>
  <c r="M55" i="9"/>
  <c r="M56" i="9"/>
  <c r="L48" i="9"/>
  <c r="L49" i="9"/>
  <c r="L50" i="9"/>
  <c r="L51" i="9"/>
  <c r="L52" i="9"/>
  <c r="L53" i="9"/>
  <c r="L54" i="9"/>
  <c r="L55" i="9"/>
  <c r="L56" i="9"/>
  <c r="K48" i="9"/>
  <c r="K49" i="9"/>
  <c r="K50" i="9"/>
  <c r="K51" i="9"/>
  <c r="K52" i="9"/>
  <c r="K53" i="9"/>
  <c r="K54" i="9"/>
  <c r="K55" i="9"/>
  <c r="K56" i="9"/>
  <c r="J48" i="9"/>
  <c r="J49" i="9"/>
  <c r="J50" i="9"/>
  <c r="J51" i="9"/>
  <c r="J52" i="9"/>
  <c r="J53" i="9"/>
  <c r="J54" i="9"/>
  <c r="J55" i="9"/>
  <c r="J56" i="9"/>
  <c r="I48" i="9"/>
  <c r="I49" i="9"/>
  <c r="I50" i="9"/>
  <c r="I51" i="9"/>
  <c r="I52" i="9"/>
  <c r="I53" i="9"/>
  <c r="I54" i="9"/>
  <c r="I55" i="9"/>
  <c r="I56" i="9"/>
  <c r="H48" i="9"/>
  <c r="H49" i="9"/>
  <c r="H50" i="9"/>
  <c r="H51" i="9"/>
  <c r="H52" i="9"/>
  <c r="H53" i="9"/>
  <c r="H54" i="9"/>
  <c r="H55" i="9"/>
  <c r="H56" i="9"/>
  <c r="G48" i="9"/>
  <c r="G49" i="9"/>
  <c r="G50" i="9"/>
  <c r="G51" i="9"/>
  <c r="G52" i="9"/>
  <c r="G53" i="9"/>
  <c r="G54" i="9"/>
  <c r="G55" i="9"/>
  <c r="G56" i="9"/>
  <c r="F48" i="9"/>
  <c r="F49" i="9"/>
  <c r="F50" i="9"/>
  <c r="F51" i="9"/>
  <c r="F52" i="9"/>
  <c r="F53" i="9"/>
  <c r="F54" i="9"/>
  <c r="F55" i="9"/>
  <c r="F56" i="9"/>
  <c r="E48" i="9"/>
  <c r="E49" i="9"/>
  <c r="E50" i="9"/>
  <c r="E51" i="9"/>
  <c r="E52" i="9"/>
  <c r="E53" i="9"/>
  <c r="E54" i="9"/>
  <c r="E55" i="9"/>
  <c r="E56" i="9"/>
  <c r="D48" i="9"/>
  <c r="D49" i="9"/>
  <c r="D50" i="9"/>
  <c r="D51" i="9"/>
  <c r="D52" i="9"/>
  <c r="D53" i="9"/>
  <c r="D54" i="9"/>
  <c r="D55" i="9"/>
  <c r="D56" i="9"/>
  <c r="C48" i="9"/>
  <c r="C49" i="9"/>
  <c r="C50" i="9"/>
  <c r="C51" i="9"/>
  <c r="C52" i="9"/>
  <c r="C53" i="9"/>
  <c r="C54" i="9"/>
  <c r="C55" i="9"/>
  <c r="C56" i="9"/>
  <c r="C47" i="9"/>
  <c r="D47" i="9"/>
  <c r="E47" i="9"/>
  <c r="F47" i="9"/>
  <c r="G47" i="9"/>
  <c r="H47" i="9"/>
  <c r="I47" i="9"/>
  <c r="J47" i="9"/>
  <c r="K47" i="9"/>
  <c r="L47" i="9"/>
  <c r="M47" i="9"/>
  <c r="V35" i="9"/>
  <c r="V36" i="9"/>
  <c r="V37" i="9"/>
  <c r="V38" i="9"/>
  <c r="V39" i="9"/>
  <c r="V40" i="9"/>
  <c r="V41" i="9"/>
  <c r="V42" i="9"/>
  <c r="V43" i="9"/>
  <c r="U35" i="9"/>
  <c r="U36" i="9"/>
  <c r="U37" i="9"/>
  <c r="U38" i="9"/>
  <c r="U39" i="9"/>
  <c r="U40" i="9"/>
  <c r="U41" i="9"/>
  <c r="U42" i="9"/>
  <c r="U43" i="9"/>
  <c r="T35" i="9"/>
  <c r="T36" i="9"/>
  <c r="T37" i="9"/>
  <c r="T38" i="9"/>
  <c r="T39" i="9"/>
  <c r="T40" i="9"/>
  <c r="T41" i="9"/>
  <c r="T42" i="9"/>
  <c r="T43" i="9"/>
  <c r="S35" i="9"/>
  <c r="S36" i="9"/>
  <c r="S37" i="9"/>
  <c r="S38" i="9"/>
  <c r="S39" i="9"/>
  <c r="S40" i="9"/>
  <c r="S41" i="9"/>
  <c r="S42" i="9"/>
  <c r="S43" i="9"/>
  <c r="R35" i="9"/>
  <c r="R36" i="9"/>
  <c r="R37" i="9"/>
  <c r="R38" i="9"/>
  <c r="R39" i="9"/>
  <c r="R40" i="9"/>
  <c r="R41" i="9"/>
  <c r="R42" i="9"/>
  <c r="R43" i="9"/>
  <c r="Q35" i="9"/>
  <c r="Q36" i="9"/>
  <c r="Q37" i="9"/>
  <c r="Q38" i="9"/>
  <c r="Q39" i="9"/>
  <c r="Q40" i="9"/>
  <c r="Q41" i="9"/>
  <c r="Q42" i="9"/>
  <c r="Q43" i="9"/>
  <c r="P35" i="9"/>
  <c r="P36" i="9"/>
  <c r="P37" i="9"/>
  <c r="P38" i="9"/>
  <c r="P39" i="9"/>
  <c r="P40" i="9"/>
  <c r="P41" i="9"/>
  <c r="P42" i="9"/>
  <c r="P43" i="9"/>
  <c r="O35" i="9"/>
  <c r="O36" i="9"/>
  <c r="O37" i="9"/>
  <c r="O38" i="9"/>
  <c r="O39" i="9"/>
  <c r="O40" i="9"/>
  <c r="O41" i="9"/>
  <c r="O42" i="9"/>
  <c r="O43" i="9"/>
  <c r="N35" i="9"/>
  <c r="N36" i="9"/>
  <c r="N37" i="9"/>
  <c r="N38" i="9"/>
  <c r="N39" i="9"/>
  <c r="N40" i="9"/>
  <c r="N41" i="9"/>
  <c r="N42" i="9"/>
  <c r="N43" i="9"/>
  <c r="P34" i="9"/>
  <c r="Q34" i="9"/>
  <c r="R34" i="9"/>
  <c r="S34" i="9"/>
  <c r="T34" i="9"/>
  <c r="U34" i="9"/>
  <c r="V34" i="9"/>
  <c r="O34" i="9"/>
  <c r="N34" i="9"/>
  <c r="M35" i="9"/>
  <c r="M36" i="9"/>
  <c r="M37" i="9"/>
  <c r="M38" i="9"/>
  <c r="M39" i="9"/>
  <c r="M40" i="9"/>
  <c r="M41" i="9"/>
  <c r="M42" i="9"/>
  <c r="M43" i="9"/>
  <c r="L35" i="9"/>
  <c r="L36" i="9"/>
  <c r="L37" i="9"/>
  <c r="L38" i="9"/>
  <c r="L39" i="9"/>
  <c r="L40" i="9"/>
  <c r="L41" i="9"/>
  <c r="L42" i="9"/>
  <c r="L43" i="9"/>
  <c r="K35" i="9"/>
  <c r="K36" i="9"/>
  <c r="K37" i="9"/>
  <c r="K38" i="9"/>
  <c r="K39" i="9"/>
  <c r="K40" i="9"/>
  <c r="K41" i="9"/>
  <c r="K42" i="9"/>
  <c r="K43" i="9"/>
  <c r="J35" i="9"/>
  <c r="J36" i="9"/>
  <c r="J37" i="9"/>
  <c r="J38" i="9"/>
  <c r="J39" i="9"/>
  <c r="J40" i="9"/>
  <c r="J41" i="9"/>
  <c r="J42" i="9"/>
  <c r="J43" i="9"/>
  <c r="I35" i="9"/>
  <c r="I36" i="9"/>
  <c r="I37" i="9"/>
  <c r="I38" i="9"/>
  <c r="I39" i="9"/>
  <c r="I40" i="9"/>
  <c r="I41" i="9"/>
  <c r="I42" i="9"/>
  <c r="I43" i="9"/>
  <c r="H35" i="9"/>
  <c r="H36" i="9"/>
  <c r="H37" i="9"/>
  <c r="H38" i="9"/>
  <c r="H39" i="9"/>
  <c r="H40" i="9"/>
  <c r="H41" i="9"/>
  <c r="H42" i="9"/>
  <c r="H43" i="9"/>
  <c r="G35" i="9"/>
  <c r="G36" i="9"/>
  <c r="G37" i="9"/>
  <c r="G38" i="9"/>
  <c r="G39" i="9"/>
  <c r="G40" i="9"/>
  <c r="G41" i="9"/>
  <c r="G42" i="9"/>
  <c r="G43" i="9"/>
  <c r="F35" i="9"/>
  <c r="F36" i="9"/>
  <c r="F37" i="9"/>
  <c r="F38" i="9"/>
  <c r="F39" i="9"/>
  <c r="F40" i="9"/>
  <c r="F41" i="9"/>
  <c r="F42" i="9"/>
  <c r="F43" i="9"/>
  <c r="E35" i="9"/>
  <c r="E36" i="9"/>
  <c r="E37" i="9"/>
  <c r="E38" i="9"/>
  <c r="E39" i="9"/>
  <c r="E40" i="9"/>
  <c r="E41" i="9"/>
  <c r="E42" i="9"/>
  <c r="E43" i="9"/>
  <c r="D35" i="9"/>
  <c r="D36" i="9"/>
  <c r="D37" i="9"/>
  <c r="D38" i="9"/>
  <c r="D39" i="9"/>
  <c r="D40" i="9"/>
  <c r="D41" i="9"/>
  <c r="D42" i="9"/>
  <c r="D43" i="9"/>
  <c r="C35" i="9"/>
  <c r="C36" i="9"/>
  <c r="C37" i="9"/>
  <c r="C38" i="9"/>
  <c r="C39" i="9"/>
  <c r="C40" i="9"/>
  <c r="C41" i="9"/>
  <c r="C42" i="9"/>
  <c r="C43" i="9"/>
  <c r="B35" i="9"/>
  <c r="B36" i="9"/>
  <c r="B37" i="9"/>
  <c r="B38" i="9"/>
  <c r="B39" i="9"/>
  <c r="B40" i="9"/>
  <c r="B41" i="9"/>
  <c r="B42" i="9"/>
  <c r="B43" i="9"/>
  <c r="C34" i="9"/>
  <c r="D34" i="9"/>
  <c r="E34" i="9"/>
  <c r="F34" i="9"/>
  <c r="G34" i="9"/>
  <c r="H34" i="9"/>
  <c r="I34" i="9"/>
  <c r="J34" i="9"/>
  <c r="K34" i="9"/>
  <c r="L34" i="9"/>
  <c r="M34" i="9"/>
  <c r="B34" i="9"/>
  <c r="V22" i="9"/>
  <c r="V23" i="9"/>
  <c r="V24" i="9"/>
  <c r="V25" i="9"/>
  <c r="V26" i="9"/>
  <c r="V27" i="9"/>
  <c r="V28" i="9"/>
  <c r="V29" i="9"/>
  <c r="V30" i="9"/>
  <c r="V21" i="9"/>
  <c r="U22" i="9"/>
  <c r="U23" i="9"/>
  <c r="U24" i="9"/>
  <c r="U25" i="9"/>
  <c r="U26" i="9"/>
  <c r="U27" i="9"/>
  <c r="U28" i="9"/>
  <c r="U29" i="9"/>
  <c r="U30" i="9"/>
  <c r="U21" i="9"/>
  <c r="T22" i="9"/>
  <c r="T23" i="9"/>
  <c r="T24" i="9"/>
  <c r="T25" i="9"/>
  <c r="T26" i="9"/>
  <c r="T27" i="9"/>
  <c r="T28" i="9"/>
  <c r="T29" i="9"/>
  <c r="T30" i="9"/>
  <c r="T21" i="9"/>
  <c r="S22" i="9"/>
  <c r="S23" i="9"/>
  <c r="S24" i="9"/>
  <c r="S25" i="9"/>
  <c r="S26" i="9"/>
  <c r="S27" i="9"/>
  <c r="S28" i="9"/>
  <c r="S29" i="9"/>
  <c r="S30" i="9"/>
  <c r="S21" i="9"/>
  <c r="R22" i="9"/>
  <c r="R23" i="9"/>
  <c r="R24" i="9"/>
  <c r="R25" i="9"/>
  <c r="R26" i="9"/>
  <c r="R27" i="9"/>
  <c r="R28" i="9"/>
  <c r="R29" i="9"/>
  <c r="R30" i="9"/>
  <c r="R21" i="9"/>
  <c r="Q22" i="9"/>
  <c r="Q23" i="9"/>
  <c r="Q24" i="9"/>
  <c r="Q25" i="9"/>
  <c r="Q26" i="9"/>
  <c r="Q27" i="9"/>
  <c r="Q28" i="9"/>
  <c r="Q29" i="9"/>
  <c r="Q30" i="9"/>
  <c r="Q21" i="9"/>
  <c r="P22" i="9"/>
  <c r="P23" i="9"/>
  <c r="P24" i="9"/>
  <c r="P25" i="9"/>
  <c r="P26" i="9"/>
  <c r="P27" i="9"/>
  <c r="P28" i="9"/>
  <c r="P29" i="9"/>
  <c r="P30" i="9"/>
  <c r="P21" i="9"/>
  <c r="N21" i="9"/>
  <c r="O22" i="9"/>
  <c r="O23" i="9"/>
  <c r="O24" i="9"/>
  <c r="O25" i="9"/>
  <c r="O26" i="9"/>
  <c r="O27" i="9"/>
  <c r="O28" i="9"/>
  <c r="O29" i="9"/>
  <c r="O30" i="9"/>
  <c r="N22" i="9"/>
  <c r="N23" i="9"/>
  <c r="N24" i="9"/>
  <c r="N25" i="9"/>
  <c r="N26" i="9"/>
  <c r="N27" i="9"/>
  <c r="N28" i="9"/>
  <c r="N29" i="9"/>
  <c r="N30" i="9"/>
  <c r="M22" i="9"/>
  <c r="M23" i="9"/>
  <c r="M24" i="9"/>
  <c r="M25" i="9"/>
  <c r="M26" i="9"/>
  <c r="M27" i="9"/>
  <c r="M28" i="9"/>
  <c r="M29" i="9"/>
  <c r="M30" i="9"/>
  <c r="L22" i="9"/>
  <c r="L23" i="9"/>
  <c r="L24" i="9"/>
  <c r="L25" i="9"/>
  <c r="L26" i="9"/>
  <c r="L27" i="9"/>
  <c r="L28" i="9"/>
  <c r="L29" i="9"/>
  <c r="L30" i="9"/>
  <c r="K22" i="9"/>
  <c r="K23" i="9"/>
  <c r="K24" i="9"/>
  <c r="K25" i="9"/>
  <c r="K26" i="9"/>
  <c r="K27" i="9"/>
  <c r="K28" i="9"/>
  <c r="K29" i="9"/>
  <c r="K30" i="9"/>
  <c r="J22" i="9"/>
  <c r="J23" i="9"/>
  <c r="J24" i="9"/>
  <c r="J25" i="9"/>
  <c r="J26" i="9"/>
  <c r="J27" i="9"/>
  <c r="J28" i="9"/>
  <c r="J29" i="9"/>
  <c r="J30" i="9"/>
  <c r="I22" i="9"/>
  <c r="I23" i="9"/>
  <c r="I24" i="9"/>
  <c r="I25" i="9"/>
  <c r="I26" i="9"/>
  <c r="I27" i="9"/>
  <c r="I28" i="9"/>
  <c r="I29" i="9"/>
  <c r="I30" i="9"/>
  <c r="H22" i="9"/>
  <c r="H23" i="9"/>
  <c r="H24" i="9"/>
  <c r="H25" i="9"/>
  <c r="H26" i="9"/>
  <c r="H27" i="9"/>
  <c r="H28" i="9"/>
  <c r="H29" i="9"/>
  <c r="H30" i="9"/>
  <c r="G22" i="9"/>
  <c r="G23" i="9"/>
  <c r="G24" i="9"/>
  <c r="G25" i="9"/>
  <c r="G26" i="9"/>
  <c r="G27" i="9"/>
  <c r="G28" i="9"/>
  <c r="G29" i="9"/>
  <c r="G30" i="9"/>
  <c r="F22" i="9"/>
  <c r="F23" i="9"/>
  <c r="F24" i="9"/>
  <c r="F25" i="9"/>
  <c r="F26" i="9"/>
  <c r="F27" i="9"/>
  <c r="F28" i="9"/>
  <c r="F29" i="9"/>
  <c r="F30" i="9"/>
  <c r="E22" i="9"/>
  <c r="E23" i="9"/>
  <c r="E24" i="9"/>
  <c r="E25" i="9"/>
  <c r="E26" i="9"/>
  <c r="E27" i="9"/>
  <c r="E28" i="9"/>
  <c r="E29" i="9"/>
  <c r="E30" i="9"/>
  <c r="D22" i="9"/>
  <c r="D23" i="9"/>
  <c r="D24" i="9"/>
  <c r="D25" i="9"/>
  <c r="D26" i="9"/>
  <c r="D27" i="9"/>
  <c r="D28" i="9"/>
  <c r="D29" i="9"/>
  <c r="D30" i="9"/>
  <c r="C22" i="9"/>
  <c r="C23" i="9"/>
  <c r="C24" i="9"/>
  <c r="C25" i="9"/>
  <c r="C26" i="9"/>
  <c r="C27" i="9"/>
  <c r="C28" i="9"/>
  <c r="C29" i="9"/>
  <c r="C30" i="9"/>
  <c r="B22" i="9"/>
  <c r="B23" i="9"/>
  <c r="B24" i="9"/>
  <c r="B25" i="9"/>
  <c r="B26" i="9"/>
  <c r="B27" i="9"/>
  <c r="B28" i="9"/>
  <c r="B29" i="9"/>
  <c r="B30" i="9"/>
  <c r="O21" i="9"/>
  <c r="O2" i="11"/>
  <c r="DS2" i="2"/>
  <c r="DR3" i="2"/>
  <c r="DR4" i="2"/>
  <c r="DR5" i="2"/>
  <c r="DR6" i="2"/>
  <c r="DR7" i="2"/>
  <c r="DR8" i="2"/>
  <c r="DR9" i="2"/>
  <c r="DR10" i="2"/>
  <c r="DR11" i="2"/>
  <c r="DR12" i="2"/>
  <c r="DR13" i="2"/>
  <c r="DR14" i="2"/>
  <c r="DR15" i="2"/>
  <c r="DR16" i="2"/>
  <c r="DR17" i="2"/>
  <c r="DR18" i="2"/>
  <c r="DR19" i="2"/>
  <c r="DR20" i="2"/>
  <c r="DR21" i="2"/>
  <c r="DR22" i="2"/>
  <c r="DR23" i="2"/>
  <c r="DR24" i="2"/>
  <c r="DR25" i="2"/>
  <c r="DR26" i="2"/>
  <c r="DR27" i="2"/>
  <c r="DR28" i="2"/>
  <c r="DR29" i="2"/>
  <c r="DR30" i="2"/>
  <c r="DR31" i="2"/>
  <c r="DR32" i="2"/>
  <c r="DR33" i="2"/>
  <c r="DR34" i="2"/>
  <c r="DR35" i="2"/>
  <c r="DR36" i="2"/>
  <c r="DR37" i="2"/>
  <c r="DR38" i="2"/>
  <c r="DR39" i="2"/>
  <c r="DR40" i="2"/>
  <c r="DR41" i="2"/>
  <c r="DR42" i="2"/>
  <c r="DR43" i="2"/>
  <c r="DR44" i="2"/>
  <c r="DR45" i="2"/>
  <c r="DR46" i="2"/>
  <c r="DR47" i="2"/>
  <c r="DR48" i="2"/>
  <c r="DR49" i="2"/>
  <c r="DR50" i="2"/>
  <c r="DR51" i="2"/>
  <c r="DR52" i="2"/>
  <c r="DR53" i="2"/>
  <c r="DR54" i="2"/>
  <c r="DR55" i="2"/>
  <c r="DR56" i="2"/>
  <c r="DR57" i="2"/>
  <c r="DR58" i="2"/>
  <c r="DR59" i="2"/>
  <c r="DR60" i="2"/>
  <c r="DR61" i="2"/>
  <c r="DR62" i="2"/>
  <c r="DR63" i="2"/>
  <c r="DR64" i="2"/>
  <c r="DR65" i="2"/>
  <c r="DR66" i="2"/>
  <c r="DR67" i="2"/>
  <c r="DR68" i="2"/>
  <c r="DR69" i="2"/>
  <c r="DR70" i="2"/>
  <c r="DR71" i="2"/>
  <c r="DR72" i="2"/>
  <c r="DR73" i="2"/>
  <c r="DR74" i="2"/>
  <c r="DR75" i="2"/>
  <c r="DR76" i="2"/>
  <c r="DR77" i="2"/>
  <c r="DR78" i="2"/>
  <c r="DR79" i="2"/>
  <c r="DR80" i="2"/>
  <c r="DR81" i="2"/>
  <c r="DR82" i="2"/>
  <c r="DR83" i="2"/>
  <c r="DR84" i="2"/>
  <c r="DR85" i="2"/>
  <c r="DR86" i="2"/>
  <c r="DR87" i="2"/>
  <c r="DR88" i="2"/>
  <c r="DR89" i="2"/>
  <c r="DR90" i="2"/>
  <c r="DR91" i="2"/>
  <c r="DR92" i="2"/>
  <c r="DR93" i="2"/>
  <c r="DR94" i="2"/>
  <c r="DR95" i="2"/>
  <c r="DR96" i="2"/>
  <c r="DR97" i="2"/>
  <c r="DR98" i="2"/>
  <c r="DR99" i="2"/>
  <c r="DR100" i="2"/>
  <c r="DR101" i="2"/>
  <c r="DR102" i="2"/>
  <c r="DR103" i="2"/>
  <c r="DR104" i="2"/>
  <c r="DR105" i="2"/>
  <c r="DR106" i="2"/>
  <c r="DR107" i="2"/>
  <c r="DR108" i="2"/>
  <c r="DR109" i="2"/>
  <c r="DR110" i="2"/>
  <c r="DR111" i="2"/>
  <c r="DR112" i="2"/>
  <c r="DR113" i="2"/>
  <c r="DR114" i="2"/>
  <c r="DR115" i="2"/>
  <c r="DR116" i="2"/>
  <c r="DR117" i="2"/>
  <c r="DR118" i="2"/>
  <c r="DR119" i="2"/>
  <c r="DR120" i="2"/>
  <c r="DR121" i="2"/>
  <c r="DR2" i="2"/>
  <c r="N8" i="9"/>
  <c r="C21" i="9"/>
  <c r="D21" i="9"/>
  <c r="E21" i="9"/>
  <c r="F21" i="9"/>
  <c r="G21" i="9"/>
  <c r="H21" i="9"/>
  <c r="I21" i="9"/>
  <c r="J21" i="9"/>
  <c r="K21" i="9"/>
  <c r="L21" i="9"/>
  <c r="M21" i="9"/>
  <c r="B21" i="9"/>
  <c r="K8" i="9"/>
  <c r="L8" i="9"/>
  <c r="M8" i="9"/>
  <c r="O8" i="9"/>
  <c r="P8" i="9"/>
  <c r="Q8" i="9"/>
  <c r="R8" i="9"/>
  <c r="S8" i="9"/>
  <c r="T8" i="9"/>
  <c r="U8" i="9"/>
  <c r="V8" i="9"/>
  <c r="W8" i="9"/>
  <c r="X8" i="9"/>
  <c r="Y8" i="9"/>
  <c r="Z8" i="9"/>
  <c r="AA8" i="9"/>
  <c r="AB8" i="9"/>
  <c r="AC8" i="9"/>
  <c r="AD8" i="9"/>
  <c r="AE8" i="9"/>
  <c r="AF8" i="9"/>
  <c r="AG8" i="9"/>
  <c r="AH8" i="9"/>
  <c r="AI8" i="9"/>
  <c r="AJ8" i="9"/>
  <c r="AK8" i="9"/>
  <c r="AL8" i="9"/>
  <c r="AM8" i="9"/>
  <c r="AN8" i="9"/>
  <c r="AO8" i="9"/>
  <c r="AP8" i="9"/>
  <c r="AQ8" i="9"/>
  <c r="AR8" i="9"/>
  <c r="AS8" i="9"/>
  <c r="AT8" i="9"/>
  <c r="AU8" i="9"/>
  <c r="AV8" i="9"/>
  <c r="AW8" i="9"/>
  <c r="AX8" i="9"/>
  <c r="AY8" i="9"/>
  <c r="AZ8" i="9"/>
  <c r="BA8" i="9"/>
  <c r="BB8" i="9"/>
  <c r="BC8" i="9"/>
  <c r="BD8" i="9"/>
  <c r="BE8" i="9"/>
  <c r="BF8" i="9"/>
  <c r="BG8" i="9"/>
  <c r="BH8" i="9"/>
  <c r="BI8" i="9"/>
  <c r="BJ8" i="9"/>
  <c r="BK8" i="9"/>
  <c r="BL8" i="9"/>
  <c r="BM8" i="9"/>
  <c r="BN8" i="9"/>
  <c r="BO8" i="9"/>
  <c r="BP8" i="9"/>
  <c r="BQ8" i="9"/>
  <c r="BR8" i="9"/>
  <c r="BS8" i="9"/>
  <c r="BT8" i="9"/>
  <c r="BU8" i="9"/>
  <c r="BV8" i="9"/>
  <c r="BW8" i="9"/>
  <c r="BX8" i="9"/>
  <c r="BY8" i="9"/>
  <c r="BZ8" i="9"/>
  <c r="CA8" i="9"/>
  <c r="CB8" i="9"/>
  <c r="CC8" i="9"/>
  <c r="CD8" i="9"/>
  <c r="CE8" i="9"/>
  <c r="CF8" i="9"/>
  <c r="CG8" i="9"/>
  <c r="CH8" i="9"/>
  <c r="CI8" i="9"/>
  <c r="CJ8" i="9"/>
  <c r="CK8" i="9"/>
  <c r="CL8" i="9"/>
  <c r="CM8" i="9"/>
  <c r="CN8" i="9"/>
  <c r="CO8" i="9"/>
  <c r="CP8" i="9"/>
  <c r="CQ8" i="9"/>
  <c r="CR8" i="9"/>
  <c r="CS8" i="9"/>
  <c r="CT8" i="9"/>
  <c r="CU8" i="9"/>
  <c r="CV8" i="9"/>
  <c r="CW8" i="9"/>
  <c r="CX8" i="9"/>
  <c r="CY8" i="9"/>
  <c r="CZ8" i="9"/>
  <c r="DA8" i="9"/>
  <c r="DB8" i="9"/>
  <c r="DC8" i="9"/>
  <c r="DD8" i="9"/>
  <c r="DE8" i="9"/>
  <c r="DF8" i="9"/>
  <c r="DG8" i="9"/>
  <c r="DH8" i="9"/>
  <c r="DI8" i="9"/>
  <c r="DJ8" i="9"/>
  <c r="DK8" i="9"/>
  <c r="DL8" i="9"/>
  <c r="DM8" i="9"/>
  <c r="DN8" i="9"/>
  <c r="DO8" i="9"/>
  <c r="DP8" i="9"/>
  <c r="DQ8" i="9"/>
  <c r="K9" i="9"/>
  <c r="L9" i="9"/>
  <c r="M9" i="9"/>
  <c r="N9" i="9"/>
  <c r="O9" i="9"/>
  <c r="P9" i="9"/>
  <c r="Q9" i="9"/>
  <c r="R9" i="9"/>
  <c r="S9" i="9"/>
  <c r="T9" i="9"/>
  <c r="U9" i="9"/>
  <c r="V9" i="9"/>
  <c r="W9" i="9"/>
  <c r="X9" i="9"/>
  <c r="Y9" i="9"/>
  <c r="Z9" i="9"/>
  <c r="AA9" i="9"/>
  <c r="AB9" i="9"/>
  <c r="AC9" i="9"/>
  <c r="AD9" i="9"/>
  <c r="AE9" i="9"/>
  <c r="AF9" i="9"/>
  <c r="AG9" i="9"/>
  <c r="AH9" i="9"/>
  <c r="AI9" i="9"/>
  <c r="AJ9" i="9"/>
  <c r="AK9" i="9"/>
  <c r="AL9" i="9"/>
  <c r="AM9" i="9"/>
  <c r="AN9" i="9"/>
  <c r="AO9" i="9"/>
  <c r="AP9" i="9"/>
  <c r="AQ9" i="9"/>
  <c r="AR9" i="9"/>
  <c r="AS9" i="9"/>
  <c r="AT9" i="9"/>
  <c r="AU9" i="9"/>
  <c r="AV9" i="9"/>
  <c r="AW9" i="9"/>
  <c r="AX9" i="9"/>
  <c r="AY9" i="9"/>
  <c r="AZ9" i="9"/>
  <c r="BA9" i="9"/>
  <c r="BB9" i="9"/>
  <c r="BC9" i="9"/>
  <c r="BD9" i="9"/>
  <c r="BE9" i="9"/>
  <c r="BF9" i="9"/>
  <c r="BG9" i="9"/>
  <c r="BH9" i="9"/>
  <c r="BI9" i="9"/>
  <c r="BJ9" i="9"/>
  <c r="BK9" i="9"/>
  <c r="BL9" i="9"/>
  <c r="BM9" i="9"/>
  <c r="BN9" i="9"/>
  <c r="BO9" i="9"/>
  <c r="BP9" i="9"/>
  <c r="BQ9" i="9"/>
  <c r="BR9" i="9"/>
  <c r="BS9" i="9"/>
  <c r="BT9" i="9"/>
  <c r="BU9" i="9"/>
  <c r="BV9" i="9"/>
  <c r="BW9" i="9"/>
  <c r="BX9" i="9"/>
  <c r="BY9" i="9"/>
  <c r="BZ9" i="9"/>
  <c r="CA9" i="9"/>
  <c r="CB9" i="9"/>
  <c r="CC9" i="9"/>
  <c r="CD9" i="9"/>
  <c r="CE9" i="9"/>
  <c r="CF9" i="9"/>
  <c r="CG9" i="9"/>
  <c r="CH9" i="9"/>
  <c r="CI9" i="9"/>
  <c r="CJ9" i="9"/>
  <c r="CK9" i="9"/>
  <c r="CL9" i="9"/>
  <c r="CM9" i="9"/>
  <c r="CN9" i="9"/>
  <c r="CO9" i="9"/>
  <c r="CP9" i="9"/>
  <c r="CQ9" i="9"/>
  <c r="CR9" i="9"/>
  <c r="CS9" i="9"/>
  <c r="CT9" i="9"/>
  <c r="CU9" i="9"/>
  <c r="CV9" i="9"/>
  <c r="CW9" i="9"/>
  <c r="CX9" i="9"/>
  <c r="CY9" i="9"/>
  <c r="CZ9" i="9"/>
  <c r="DA9" i="9"/>
  <c r="DB9" i="9"/>
  <c r="DC9" i="9"/>
  <c r="DD9" i="9"/>
  <c r="DE9" i="9"/>
  <c r="DF9" i="9"/>
  <c r="DG9" i="9"/>
  <c r="DH9" i="9"/>
  <c r="DI9" i="9"/>
  <c r="DJ9" i="9"/>
  <c r="DK9" i="9"/>
  <c r="DL9" i="9"/>
  <c r="DM9" i="9"/>
  <c r="DN9" i="9"/>
  <c r="DO9" i="9"/>
  <c r="DP9" i="9"/>
  <c r="DQ9" i="9"/>
  <c r="K10" i="9"/>
  <c r="L10" i="9"/>
  <c r="M10" i="9"/>
  <c r="N10" i="9"/>
  <c r="O10" i="9"/>
  <c r="P10" i="9"/>
  <c r="Q10" i="9"/>
  <c r="R10" i="9"/>
  <c r="S10" i="9"/>
  <c r="T10" i="9"/>
  <c r="U10" i="9"/>
  <c r="V10" i="9"/>
  <c r="W10" i="9"/>
  <c r="X10" i="9"/>
  <c r="Y10" i="9"/>
  <c r="Z10" i="9"/>
  <c r="AA10" i="9"/>
  <c r="AB10" i="9"/>
  <c r="AC10" i="9"/>
  <c r="AD10" i="9"/>
  <c r="AE10" i="9"/>
  <c r="AF10" i="9"/>
  <c r="AG10" i="9"/>
  <c r="AH10" i="9"/>
  <c r="AI10" i="9"/>
  <c r="AJ10" i="9"/>
  <c r="AK10" i="9"/>
  <c r="AL10" i="9"/>
  <c r="AM10" i="9"/>
  <c r="AN10" i="9"/>
  <c r="AO10" i="9"/>
  <c r="AP10" i="9"/>
  <c r="AQ10" i="9"/>
  <c r="AR10" i="9"/>
  <c r="AS10" i="9"/>
  <c r="AT10" i="9"/>
  <c r="AU10" i="9"/>
  <c r="AV10" i="9"/>
  <c r="AW10" i="9"/>
  <c r="AX10" i="9"/>
  <c r="AY10" i="9"/>
  <c r="AZ10" i="9"/>
  <c r="BA10" i="9"/>
  <c r="BB10" i="9"/>
  <c r="BC10" i="9"/>
  <c r="BD10" i="9"/>
  <c r="BE10" i="9"/>
  <c r="BF10" i="9"/>
  <c r="BG10" i="9"/>
  <c r="BH10" i="9"/>
  <c r="BI10" i="9"/>
  <c r="BJ10" i="9"/>
  <c r="BK10" i="9"/>
  <c r="BL10" i="9"/>
  <c r="BM10" i="9"/>
  <c r="BN10" i="9"/>
  <c r="BO10" i="9"/>
  <c r="BP10" i="9"/>
  <c r="BQ10" i="9"/>
  <c r="BR10" i="9"/>
  <c r="BS10" i="9"/>
  <c r="BT10" i="9"/>
  <c r="BU10" i="9"/>
  <c r="BV10" i="9"/>
  <c r="BW10" i="9"/>
  <c r="BX10" i="9"/>
  <c r="BY10" i="9"/>
  <c r="BZ10" i="9"/>
  <c r="CA10" i="9"/>
  <c r="CB10" i="9"/>
  <c r="CC10" i="9"/>
  <c r="CD10" i="9"/>
  <c r="CE10" i="9"/>
  <c r="CF10" i="9"/>
  <c r="CG10" i="9"/>
  <c r="CH10" i="9"/>
  <c r="CI10" i="9"/>
  <c r="CJ10" i="9"/>
  <c r="CK10" i="9"/>
  <c r="CL10" i="9"/>
  <c r="CM10" i="9"/>
  <c r="CN10" i="9"/>
  <c r="CO10" i="9"/>
  <c r="CP10" i="9"/>
  <c r="CQ10" i="9"/>
  <c r="CR10" i="9"/>
  <c r="CS10" i="9"/>
  <c r="CT10" i="9"/>
  <c r="CU10" i="9"/>
  <c r="CV10" i="9"/>
  <c r="CW10" i="9"/>
  <c r="CX10" i="9"/>
  <c r="CY10" i="9"/>
  <c r="CZ10" i="9"/>
  <c r="DA10" i="9"/>
  <c r="DB10" i="9"/>
  <c r="DC10" i="9"/>
  <c r="DD10" i="9"/>
  <c r="DE10" i="9"/>
  <c r="DF10" i="9"/>
  <c r="DG10" i="9"/>
  <c r="DH10" i="9"/>
  <c r="DI10" i="9"/>
  <c r="DJ10" i="9"/>
  <c r="DK10" i="9"/>
  <c r="DL10" i="9"/>
  <c r="DM10" i="9"/>
  <c r="DN10" i="9"/>
  <c r="DO10" i="9"/>
  <c r="DP10" i="9"/>
  <c r="DQ10" i="9"/>
  <c r="K11" i="9"/>
  <c r="L11" i="9"/>
  <c r="M11" i="9"/>
  <c r="N11" i="9"/>
  <c r="O11" i="9"/>
  <c r="P11" i="9"/>
  <c r="Q11" i="9"/>
  <c r="R11" i="9"/>
  <c r="S11" i="9"/>
  <c r="T11" i="9"/>
  <c r="U11" i="9"/>
  <c r="V11" i="9"/>
  <c r="W11" i="9"/>
  <c r="X11" i="9"/>
  <c r="Y11" i="9"/>
  <c r="Z11" i="9"/>
  <c r="AA11" i="9"/>
  <c r="AB11" i="9"/>
  <c r="AC11" i="9"/>
  <c r="AD11" i="9"/>
  <c r="AE11" i="9"/>
  <c r="AF11" i="9"/>
  <c r="AG11" i="9"/>
  <c r="AH11" i="9"/>
  <c r="AI11" i="9"/>
  <c r="AJ11" i="9"/>
  <c r="AK11" i="9"/>
  <c r="AL11" i="9"/>
  <c r="AM11" i="9"/>
  <c r="AN11" i="9"/>
  <c r="AO11" i="9"/>
  <c r="AP11" i="9"/>
  <c r="AQ11" i="9"/>
  <c r="AR11" i="9"/>
  <c r="AS11" i="9"/>
  <c r="AT11" i="9"/>
  <c r="AU11" i="9"/>
  <c r="AV11" i="9"/>
  <c r="AW11" i="9"/>
  <c r="AX11" i="9"/>
  <c r="AY11" i="9"/>
  <c r="AZ11" i="9"/>
  <c r="BA11" i="9"/>
  <c r="BB11" i="9"/>
  <c r="BC11" i="9"/>
  <c r="BD11" i="9"/>
  <c r="BE11" i="9"/>
  <c r="BF11" i="9"/>
  <c r="BG11" i="9"/>
  <c r="BH11" i="9"/>
  <c r="BI11" i="9"/>
  <c r="BJ11" i="9"/>
  <c r="BK11" i="9"/>
  <c r="BL11" i="9"/>
  <c r="BM11" i="9"/>
  <c r="BN11" i="9"/>
  <c r="BO11" i="9"/>
  <c r="BP11" i="9"/>
  <c r="BQ11" i="9"/>
  <c r="BR11" i="9"/>
  <c r="BS11" i="9"/>
  <c r="BT11" i="9"/>
  <c r="BU11" i="9"/>
  <c r="BV11" i="9"/>
  <c r="BW11" i="9"/>
  <c r="BX11" i="9"/>
  <c r="BY11" i="9"/>
  <c r="BZ11" i="9"/>
  <c r="CA11" i="9"/>
  <c r="CB11" i="9"/>
  <c r="CC11" i="9"/>
  <c r="CD11" i="9"/>
  <c r="CE11" i="9"/>
  <c r="CF11" i="9"/>
  <c r="CG11" i="9"/>
  <c r="CH11" i="9"/>
  <c r="CI11" i="9"/>
  <c r="CJ11" i="9"/>
  <c r="CK11" i="9"/>
  <c r="CL11" i="9"/>
  <c r="CM11" i="9"/>
  <c r="CN11" i="9"/>
  <c r="CO11" i="9"/>
  <c r="CP11" i="9"/>
  <c r="CQ11" i="9"/>
  <c r="CR11" i="9"/>
  <c r="CS11" i="9"/>
  <c r="CT11" i="9"/>
  <c r="CU11" i="9"/>
  <c r="CV11" i="9"/>
  <c r="CW11" i="9"/>
  <c r="CX11" i="9"/>
  <c r="CY11" i="9"/>
  <c r="CZ11" i="9"/>
  <c r="DA11" i="9"/>
  <c r="DB11" i="9"/>
  <c r="DC11" i="9"/>
  <c r="DD11" i="9"/>
  <c r="DE11" i="9"/>
  <c r="DF11" i="9"/>
  <c r="DG11" i="9"/>
  <c r="DH11" i="9"/>
  <c r="DI11" i="9"/>
  <c r="DJ11" i="9"/>
  <c r="DK11" i="9"/>
  <c r="DL11" i="9"/>
  <c r="DM11" i="9"/>
  <c r="DN11" i="9"/>
  <c r="DO11" i="9"/>
  <c r="DP11" i="9"/>
  <c r="DQ11" i="9"/>
  <c r="K12" i="9"/>
  <c r="L12" i="9"/>
  <c r="M12" i="9"/>
  <c r="N12" i="9"/>
  <c r="O12" i="9"/>
  <c r="P12" i="9"/>
  <c r="Q12" i="9"/>
  <c r="R12" i="9"/>
  <c r="S12" i="9"/>
  <c r="T12" i="9"/>
  <c r="U12" i="9"/>
  <c r="V12" i="9"/>
  <c r="W12" i="9"/>
  <c r="X12" i="9"/>
  <c r="Y12" i="9"/>
  <c r="Z12" i="9"/>
  <c r="AA12" i="9"/>
  <c r="AB12" i="9"/>
  <c r="AC12" i="9"/>
  <c r="AD12" i="9"/>
  <c r="AE12" i="9"/>
  <c r="AF12" i="9"/>
  <c r="AG12" i="9"/>
  <c r="AH12" i="9"/>
  <c r="AI12" i="9"/>
  <c r="AJ12" i="9"/>
  <c r="AK12" i="9"/>
  <c r="AL12" i="9"/>
  <c r="AM12" i="9"/>
  <c r="AN12" i="9"/>
  <c r="AO12" i="9"/>
  <c r="AP12" i="9"/>
  <c r="AQ12" i="9"/>
  <c r="AR12" i="9"/>
  <c r="AS12" i="9"/>
  <c r="AT12" i="9"/>
  <c r="AU12" i="9"/>
  <c r="AV12" i="9"/>
  <c r="AW12" i="9"/>
  <c r="AX12" i="9"/>
  <c r="AY12" i="9"/>
  <c r="AZ12" i="9"/>
  <c r="BA12" i="9"/>
  <c r="BB12" i="9"/>
  <c r="BC12" i="9"/>
  <c r="BD12" i="9"/>
  <c r="BE12" i="9"/>
  <c r="BF12" i="9"/>
  <c r="BG12" i="9"/>
  <c r="BH12" i="9"/>
  <c r="BI12" i="9"/>
  <c r="BJ12" i="9"/>
  <c r="BK12" i="9"/>
  <c r="BL12" i="9"/>
  <c r="BM12" i="9"/>
  <c r="BN12" i="9"/>
  <c r="BO12" i="9"/>
  <c r="BP12" i="9"/>
  <c r="BQ12" i="9"/>
  <c r="BR12" i="9"/>
  <c r="BS12" i="9"/>
  <c r="BT12" i="9"/>
  <c r="BU12" i="9"/>
  <c r="BV12" i="9"/>
  <c r="BW12" i="9"/>
  <c r="BX12" i="9"/>
  <c r="BY12" i="9"/>
  <c r="BZ12" i="9"/>
  <c r="CA12" i="9"/>
  <c r="CB12" i="9"/>
  <c r="CC12" i="9"/>
  <c r="CD12" i="9"/>
  <c r="CE12" i="9"/>
  <c r="CF12" i="9"/>
  <c r="CG12" i="9"/>
  <c r="CH12" i="9"/>
  <c r="CI12" i="9"/>
  <c r="CJ12" i="9"/>
  <c r="CK12" i="9"/>
  <c r="CL12" i="9"/>
  <c r="CM12" i="9"/>
  <c r="CN12" i="9"/>
  <c r="CO12" i="9"/>
  <c r="CP12" i="9"/>
  <c r="CQ12" i="9"/>
  <c r="CR12" i="9"/>
  <c r="CS12" i="9"/>
  <c r="CT12" i="9"/>
  <c r="CU12" i="9"/>
  <c r="CV12" i="9"/>
  <c r="CW12" i="9"/>
  <c r="CX12" i="9"/>
  <c r="CY12" i="9"/>
  <c r="CZ12" i="9"/>
  <c r="DA12" i="9"/>
  <c r="DB12" i="9"/>
  <c r="DC12" i="9"/>
  <c r="DD12" i="9"/>
  <c r="DE12" i="9"/>
  <c r="DF12" i="9"/>
  <c r="DG12" i="9"/>
  <c r="DH12" i="9"/>
  <c r="DI12" i="9"/>
  <c r="DJ12" i="9"/>
  <c r="DK12" i="9"/>
  <c r="DL12" i="9"/>
  <c r="DM12" i="9"/>
  <c r="DN12" i="9"/>
  <c r="DO12" i="9"/>
  <c r="DP12" i="9"/>
  <c r="DQ12" i="9"/>
  <c r="K13" i="9"/>
  <c r="L13" i="9"/>
  <c r="M13" i="9"/>
  <c r="N13" i="9"/>
  <c r="O13" i="9"/>
  <c r="P13" i="9"/>
  <c r="Q13" i="9"/>
  <c r="R13" i="9"/>
  <c r="S13" i="9"/>
  <c r="T13" i="9"/>
  <c r="U13" i="9"/>
  <c r="V13" i="9"/>
  <c r="W13" i="9"/>
  <c r="X13" i="9"/>
  <c r="Y13" i="9"/>
  <c r="Z13" i="9"/>
  <c r="AA13" i="9"/>
  <c r="AB13" i="9"/>
  <c r="AC13" i="9"/>
  <c r="AD13" i="9"/>
  <c r="AE13" i="9"/>
  <c r="AF13" i="9"/>
  <c r="AG13" i="9"/>
  <c r="AH13" i="9"/>
  <c r="AI13" i="9"/>
  <c r="AJ13" i="9"/>
  <c r="AK13" i="9"/>
  <c r="AL13" i="9"/>
  <c r="AM13" i="9"/>
  <c r="AN13" i="9"/>
  <c r="AO13" i="9"/>
  <c r="AP13" i="9"/>
  <c r="AQ13" i="9"/>
  <c r="AR13" i="9"/>
  <c r="AS13" i="9"/>
  <c r="AT13" i="9"/>
  <c r="AU13" i="9"/>
  <c r="AV13" i="9"/>
  <c r="AW13" i="9"/>
  <c r="AX13" i="9"/>
  <c r="AY13" i="9"/>
  <c r="AZ13" i="9"/>
  <c r="BA13" i="9"/>
  <c r="BB13" i="9"/>
  <c r="BC13" i="9"/>
  <c r="BD13" i="9"/>
  <c r="BE13" i="9"/>
  <c r="BF13" i="9"/>
  <c r="BG13" i="9"/>
  <c r="BH13" i="9"/>
  <c r="BI13" i="9"/>
  <c r="BJ13" i="9"/>
  <c r="BK13" i="9"/>
  <c r="BL13" i="9"/>
  <c r="BM13" i="9"/>
  <c r="BN13" i="9"/>
  <c r="BO13" i="9"/>
  <c r="BP13" i="9"/>
  <c r="BQ13" i="9"/>
  <c r="BR13" i="9"/>
  <c r="BS13" i="9"/>
  <c r="BT13" i="9"/>
  <c r="BU13" i="9"/>
  <c r="BV13" i="9"/>
  <c r="BW13" i="9"/>
  <c r="BX13" i="9"/>
  <c r="BY13" i="9"/>
  <c r="BZ13" i="9"/>
  <c r="CA13" i="9"/>
  <c r="CB13" i="9"/>
  <c r="CC13" i="9"/>
  <c r="CD13" i="9"/>
  <c r="CE13" i="9"/>
  <c r="CF13" i="9"/>
  <c r="CG13" i="9"/>
  <c r="CH13" i="9"/>
  <c r="CI13" i="9"/>
  <c r="CJ13" i="9"/>
  <c r="CK13" i="9"/>
  <c r="CL13" i="9"/>
  <c r="CM13" i="9"/>
  <c r="CN13" i="9"/>
  <c r="CO13" i="9"/>
  <c r="CP13" i="9"/>
  <c r="CQ13" i="9"/>
  <c r="CR13" i="9"/>
  <c r="CS13" i="9"/>
  <c r="CT13" i="9"/>
  <c r="CU13" i="9"/>
  <c r="CV13" i="9"/>
  <c r="CW13" i="9"/>
  <c r="CX13" i="9"/>
  <c r="CY13" i="9"/>
  <c r="CZ13" i="9"/>
  <c r="DA13" i="9"/>
  <c r="DB13" i="9"/>
  <c r="DC13" i="9"/>
  <c r="DD13" i="9"/>
  <c r="DE13" i="9"/>
  <c r="DF13" i="9"/>
  <c r="DG13" i="9"/>
  <c r="DH13" i="9"/>
  <c r="DI13" i="9"/>
  <c r="DJ13" i="9"/>
  <c r="DK13" i="9"/>
  <c r="DL13" i="9"/>
  <c r="DM13" i="9"/>
  <c r="DN13" i="9"/>
  <c r="DO13" i="9"/>
  <c r="DP13" i="9"/>
  <c r="DQ13" i="9"/>
  <c r="K14" i="9"/>
  <c r="L14" i="9"/>
  <c r="M14" i="9"/>
  <c r="N14" i="9"/>
  <c r="O14" i="9"/>
  <c r="P14" i="9"/>
  <c r="Q14" i="9"/>
  <c r="R14" i="9"/>
  <c r="S14" i="9"/>
  <c r="T14" i="9"/>
  <c r="U14" i="9"/>
  <c r="V14" i="9"/>
  <c r="W14" i="9"/>
  <c r="X14" i="9"/>
  <c r="Y14" i="9"/>
  <c r="Z14" i="9"/>
  <c r="AA14" i="9"/>
  <c r="AB14" i="9"/>
  <c r="AC14" i="9"/>
  <c r="AD14" i="9"/>
  <c r="AE14" i="9"/>
  <c r="AF14" i="9"/>
  <c r="AG14" i="9"/>
  <c r="AH14" i="9"/>
  <c r="AI14" i="9"/>
  <c r="AJ14" i="9"/>
  <c r="AK14" i="9"/>
  <c r="AL14" i="9"/>
  <c r="AM14" i="9"/>
  <c r="AN14" i="9"/>
  <c r="AO14" i="9"/>
  <c r="AP14" i="9"/>
  <c r="AQ14" i="9"/>
  <c r="AR14" i="9"/>
  <c r="AS14" i="9"/>
  <c r="AT14" i="9"/>
  <c r="AU14" i="9"/>
  <c r="AV14" i="9"/>
  <c r="AW14" i="9"/>
  <c r="AX14" i="9"/>
  <c r="AY14" i="9"/>
  <c r="AZ14" i="9"/>
  <c r="BA14" i="9"/>
  <c r="BB14" i="9"/>
  <c r="BC14" i="9"/>
  <c r="BD14" i="9"/>
  <c r="BE14" i="9"/>
  <c r="BF14" i="9"/>
  <c r="BG14" i="9"/>
  <c r="BH14" i="9"/>
  <c r="BI14" i="9"/>
  <c r="BJ14" i="9"/>
  <c r="BK14" i="9"/>
  <c r="BL14" i="9"/>
  <c r="BM14" i="9"/>
  <c r="BN14" i="9"/>
  <c r="BO14" i="9"/>
  <c r="BP14" i="9"/>
  <c r="BQ14" i="9"/>
  <c r="BR14" i="9"/>
  <c r="BS14" i="9"/>
  <c r="BT14" i="9"/>
  <c r="BU14" i="9"/>
  <c r="BV14" i="9"/>
  <c r="BW14" i="9"/>
  <c r="BX14" i="9"/>
  <c r="BY14" i="9"/>
  <c r="BZ14" i="9"/>
  <c r="CA14" i="9"/>
  <c r="CB14" i="9"/>
  <c r="CC14" i="9"/>
  <c r="CD14" i="9"/>
  <c r="CE14" i="9"/>
  <c r="CF14" i="9"/>
  <c r="CG14" i="9"/>
  <c r="CH14" i="9"/>
  <c r="CI14" i="9"/>
  <c r="CJ14" i="9"/>
  <c r="CK14" i="9"/>
  <c r="CL14" i="9"/>
  <c r="CM14" i="9"/>
  <c r="CN14" i="9"/>
  <c r="CO14" i="9"/>
  <c r="CP14" i="9"/>
  <c r="CQ14" i="9"/>
  <c r="CR14" i="9"/>
  <c r="CS14" i="9"/>
  <c r="CT14" i="9"/>
  <c r="CU14" i="9"/>
  <c r="CV14" i="9"/>
  <c r="CW14" i="9"/>
  <c r="CX14" i="9"/>
  <c r="CY14" i="9"/>
  <c r="CZ14" i="9"/>
  <c r="DA14" i="9"/>
  <c r="DB14" i="9"/>
  <c r="DC14" i="9"/>
  <c r="DD14" i="9"/>
  <c r="DE14" i="9"/>
  <c r="DF14" i="9"/>
  <c r="DG14" i="9"/>
  <c r="DH14" i="9"/>
  <c r="DI14" i="9"/>
  <c r="DJ14" i="9"/>
  <c r="DK14" i="9"/>
  <c r="DL14" i="9"/>
  <c r="DM14" i="9"/>
  <c r="DN14" i="9"/>
  <c r="DO14" i="9"/>
  <c r="DP14" i="9"/>
  <c r="DQ14" i="9"/>
  <c r="K15" i="9"/>
  <c r="L15" i="9"/>
  <c r="M15" i="9"/>
  <c r="N15" i="9"/>
  <c r="O15" i="9"/>
  <c r="P15" i="9"/>
  <c r="Q15" i="9"/>
  <c r="R15" i="9"/>
  <c r="S15" i="9"/>
  <c r="T15" i="9"/>
  <c r="U15" i="9"/>
  <c r="V15" i="9"/>
  <c r="W15" i="9"/>
  <c r="X15" i="9"/>
  <c r="Y15" i="9"/>
  <c r="Z15" i="9"/>
  <c r="AA15" i="9"/>
  <c r="AB15" i="9"/>
  <c r="AC15" i="9"/>
  <c r="AD15" i="9"/>
  <c r="AE15" i="9"/>
  <c r="AF15" i="9"/>
  <c r="AG15" i="9"/>
  <c r="AH15" i="9"/>
  <c r="AI15" i="9"/>
  <c r="AJ15" i="9"/>
  <c r="AK15" i="9"/>
  <c r="AL15" i="9"/>
  <c r="AM15" i="9"/>
  <c r="AN15" i="9"/>
  <c r="AO15" i="9"/>
  <c r="AP15" i="9"/>
  <c r="AQ15" i="9"/>
  <c r="AR15" i="9"/>
  <c r="AS15" i="9"/>
  <c r="AT15" i="9"/>
  <c r="AU15" i="9"/>
  <c r="AV15" i="9"/>
  <c r="AW15" i="9"/>
  <c r="AX15" i="9"/>
  <c r="AY15" i="9"/>
  <c r="AZ15" i="9"/>
  <c r="BA15" i="9"/>
  <c r="BB15" i="9"/>
  <c r="BC15" i="9"/>
  <c r="BD15" i="9"/>
  <c r="BE15" i="9"/>
  <c r="BF15" i="9"/>
  <c r="BG15" i="9"/>
  <c r="BH15" i="9"/>
  <c r="BI15" i="9"/>
  <c r="BJ15" i="9"/>
  <c r="BK15" i="9"/>
  <c r="BL15" i="9"/>
  <c r="BM15" i="9"/>
  <c r="BN15" i="9"/>
  <c r="BO15" i="9"/>
  <c r="BP15" i="9"/>
  <c r="BQ15" i="9"/>
  <c r="BR15" i="9"/>
  <c r="BS15" i="9"/>
  <c r="BT15" i="9"/>
  <c r="BU15" i="9"/>
  <c r="BV15" i="9"/>
  <c r="BW15" i="9"/>
  <c r="BX15" i="9"/>
  <c r="BY15" i="9"/>
  <c r="BZ15" i="9"/>
  <c r="CA15" i="9"/>
  <c r="CB15" i="9"/>
  <c r="CC15" i="9"/>
  <c r="CD15" i="9"/>
  <c r="CE15" i="9"/>
  <c r="CF15" i="9"/>
  <c r="CG15" i="9"/>
  <c r="CH15" i="9"/>
  <c r="CI15" i="9"/>
  <c r="CJ15" i="9"/>
  <c r="CK15" i="9"/>
  <c r="CL15" i="9"/>
  <c r="CM15" i="9"/>
  <c r="CN15" i="9"/>
  <c r="CO15" i="9"/>
  <c r="CP15" i="9"/>
  <c r="CQ15" i="9"/>
  <c r="CR15" i="9"/>
  <c r="CS15" i="9"/>
  <c r="CT15" i="9"/>
  <c r="CU15" i="9"/>
  <c r="CV15" i="9"/>
  <c r="CW15" i="9"/>
  <c r="CX15" i="9"/>
  <c r="CY15" i="9"/>
  <c r="CZ15" i="9"/>
  <c r="DA15" i="9"/>
  <c r="DB15" i="9"/>
  <c r="DC15" i="9"/>
  <c r="DD15" i="9"/>
  <c r="DE15" i="9"/>
  <c r="DF15" i="9"/>
  <c r="DG15" i="9"/>
  <c r="DH15" i="9"/>
  <c r="DI15" i="9"/>
  <c r="DJ15" i="9"/>
  <c r="DK15" i="9"/>
  <c r="DL15" i="9"/>
  <c r="DM15" i="9"/>
  <c r="DN15" i="9"/>
  <c r="DO15" i="9"/>
  <c r="DP15" i="9"/>
  <c r="DQ15" i="9"/>
  <c r="K16" i="9"/>
  <c r="L16" i="9"/>
  <c r="M16" i="9"/>
  <c r="N16" i="9"/>
  <c r="O16" i="9"/>
  <c r="P16" i="9"/>
  <c r="Q16" i="9"/>
  <c r="R16" i="9"/>
  <c r="S16" i="9"/>
  <c r="T16" i="9"/>
  <c r="U16" i="9"/>
  <c r="V16" i="9"/>
  <c r="W16" i="9"/>
  <c r="X16" i="9"/>
  <c r="Y16" i="9"/>
  <c r="Z16" i="9"/>
  <c r="AA16" i="9"/>
  <c r="AB16" i="9"/>
  <c r="AC16" i="9"/>
  <c r="AD16" i="9"/>
  <c r="AE16" i="9"/>
  <c r="AF16" i="9"/>
  <c r="AG16" i="9"/>
  <c r="AH16" i="9"/>
  <c r="AI16" i="9"/>
  <c r="AJ16" i="9"/>
  <c r="AK16" i="9"/>
  <c r="AL16" i="9"/>
  <c r="AM16" i="9"/>
  <c r="AN16" i="9"/>
  <c r="AO16" i="9"/>
  <c r="AP16" i="9"/>
  <c r="AQ16" i="9"/>
  <c r="AR16" i="9"/>
  <c r="AS16" i="9"/>
  <c r="AT16" i="9"/>
  <c r="AU16" i="9"/>
  <c r="AV16" i="9"/>
  <c r="AW16" i="9"/>
  <c r="AX16" i="9"/>
  <c r="AY16" i="9"/>
  <c r="AZ16" i="9"/>
  <c r="BA16" i="9"/>
  <c r="BB16" i="9"/>
  <c r="BC16" i="9"/>
  <c r="BD16" i="9"/>
  <c r="BE16" i="9"/>
  <c r="BF16" i="9"/>
  <c r="BG16" i="9"/>
  <c r="BH16" i="9"/>
  <c r="BI16" i="9"/>
  <c r="BJ16" i="9"/>
  <c r="BK16" i="9"/>
  <c r="BL16" i="9"/>
  <c r="BM16" i="9"/>
  <c r="BN16" i="9"/>
  <c r="BO16" i="9"/>
  <c r="BP16" i="9"/>
  <c r="BQ16" i="9"/>
  <c r="BR16" i="9"/>
  <c r="BS16" i="9"/>
  <c r="BT16" i="9"/>
  <c r="BU16" i="9"/>
  <c r="BV16" i="9"/>
  <c r="BW16" i="9"/>
  <c r="BX16" i="9"/>
  <c r="BY16" i="9"/>
  <c r="BZ16" i="9"/>
  <c r="CA16" i="9"/>
  <c r="CB16" i="9"/>
  <c r="CC16" i="9"/>
  <c r="CD16" i="9"/>
  <c r="CE16" i="9"/>
  <c r="CF16" i="9"/>
  <c r="CG16" i="9"/>
  <c r="CH16" i="9"/>
  <c r="CI16" i="9"/>
  <c r="CJ16" i="9"/>
  <c r="CK16" i="9"/>
  <c r="CL16" i="9"/>
  <c r="CM16" i="9"/>
  <c r="CN16" i="9"/>
  <c r="CO16" i="9"/>
  <c r="CP16" i="9"/>
  <c r="CQ16" i="9"/>
  <c r="CR16" i="9"/>
  <c r="CS16" i="9"/>
  <c r="CT16" i="9"/>
  <c r="CU16" i="9"/>
  <c r="CV16" i="9"/>
  <c r="CW16" i="9"/>
  <c r="CX16" i="9"/>
  <c r="CY16" i="9"/>
  <c r="CZ16" i="9"/>
  <c r="DA16" i="9"/>
  <c r="DB16" i="9"/>
  <c r="DC16" i="9"/>
  <c r="DD16" i="9"/>
  <c r="DE16" i="9"/>
  <c r="DF16" i="9"/>
  <c r="DG16" i="9"/>
  <c r="DH16" i="9"/>
  <c r="DI16" i="9"/>
  <c r="DJ16" i="9"/>
  <c r="DK16" i="9"/>
  <c r="DL16" i="9"/>
  <c r="DM16" i="9"/>
  <c r="DN16" i="9"/>
  <c r="DO16" i="9"/>
  <c r="DP16" i="9"/>
  <c r="DQ16" i="9"/>
  <c r="K17" i="9"/>
  <c r="L17" i="9"/>
  <c r="M17" i="9"/>
  <c r="N17" i="9"/>
  <c r="O17" i="9"/>
  <c r="P17" i="9"/>
  <c r="Q17" i="9"/>
  <c r="R17" i="9"/>
  <c r="S17" i="9"/>
  <c r="T17" i="9"/>
  <c r="U17" i="9"/>
  <c r="V17" i="9"/>
  <c r="W17" i="9"/>
  <c r="X17" i="9"/>
  <c r="Y17" i="9"/>
  <c r="Z17" i="9"/>
  <c r="AA17" i="9"/>
  <c r="AB17" i="9"/>
  <c r="AC17" i="9"/>
  <c r="AD17" i="9"/>
  <c r="AE17" i="9"/>
  <c r="AF17" i="9"/>
  <c r="AG17" i="9"/>
  <c r="AH17" i="9"/>
  <c r="AI17" i="9"/>
  <c r="AJ17" i="9"/>
  <c r="AK17" i="9"/>
  <c r="AL17" i="9"/>
  <c r="AM17" i="9"/>
  <c r="AN17" i="9"/>
  <c r="AO17" i="9"/>
  <c r="AP17" i="9"/>
  <c r="AQ17" i="9"/>
  <c r="AR17" i="9"/>
  <c r="AS17" i="9"/>
  <c r="AT17" i="9"/>
  <c r="AU17" i="9"/>
  <c r="AV17" i="9"/>
  <c r="AW17" i="9"/>
  <c r="AX17" i="9"/>
  <c r="AY17" i="9"/>
  <c r="AZ17" i="9"/>
  <c r="BA17" i="9"/>
  <c r="BB17" i="9"/>
  <c r="BC17" i="9"/>
  <c r="BD17" i="9"/>
  <c r="BE17" i="9"/>
  <c r="BF17" i="9"/>
  <c r="BG17" i="9"/>
  <c r="BH17" i="9"/>
  <c r="BI17" i="9"/>
  <c r="BJ17" i="9"/>
  <c r="BK17" i="9"/>
  <c r="BL17" i="9"/>
  <c r="BM17" i="9"/>
  <c r="BN17" i="9"/>
  <c r="BO17" i="9"/>
  <c r="BP17" i="9"/>
  <c r="BQ17" i="9"/>
  <c r="BR17" i="9"/>
  <c r="BS17" i="9"/>
  <c r="BT17" i="9"/>
  <c r="BU17" i="9"/>
  <c r="BV17" i="9"/>
  <c r="BW17" i="9"/>
  <c r="BX17" i="9"/>
  <c r="BY17" i="9"/>
  <c r="BZ17" i="9"/>
  <c r="CA17" i="9"/>
  <c r="CB17" i="9"/>
  <c r="CC17" i="9"/>
  <c r="CD17" i="9"/>
  <c r="CE17" i="9"/>
  <c r="CF17" i="9"/>
  <c r="CG17" i="9"/>
  <c r="CH17" i="9"/>
  <c r="CI17" i="9"/>
  <c r="CJ17" i="9"/>
  <c r="CK17" i="9"/>
  <c r="CL17" i="9"/>
  <c r="CM17" i="9"/>
  <c r="CN17" i="9"/>
  <c r="CO17" i="9"/>
  <c r="CP17" i="9"/>
  <c r="CQ17" i="9"/>
  <c r="CR17" i="9"/>
  <c r="CS17" i="9"/>
  <c r="CT17" i="9"/>
  <c r="CU17" i="9"/>
  <c r="CV17" i="9"/>
  <c r="CW17" i="9"/>
  <c r="CX17" i="9"/>
  <c r="CY17" i="9"/>
  <c r="CZ17" i="9"/>
  <c r="DA17" i="9"/>
  <c r="DB17" i="9"/>
  <c r="DC17" i="9"/>
  <c r="DD17" i="9"/>
  <c r="DE17" i="9"/>
  <c r="DF17" i="9"/>
  <c r="DG17" i="9"/>
  <c r="DH17" i="9"/>
  <c r="DI17" i="9"/>
  <c r="DJ17" i="9"/>
  <c r="DK17" i="9"/>
  <c r="DL17" i="9"/>
  <c r="DM17" i="9"/>
  <c r="DN17" i="9"/>
  <c r="DO17" i="9"/>
  <c r="DP17" i="9"/>
  <c r="DQ17" i="9"/>
  <c r="J9" i="9"/>
  <c r="J10" i="9"/>
  <c r="J11" i="9"/>
  <c r="J12" i="9"/>
  <c r="J13" i="9"/>
  <c r="J14" i="9"/>
  <c r="J15" i="9"/>
  <c r="J16" i="9"/>
  <c r="J17" i="9"/>
  <c r="I9" i="9"/>
  <c r="I10" i="9"/>
  <c r="I11" i="9"/>
  <c r="I12" i="9"/>
  <c r="I13" i="9"/>
  <c r="I14" i="9"/>
  <c r="I15" i="9"/>
  <c r="I16" i="9"/>
  <c r="I17" i="9"/>
  <c r="H9" i="9"/>
  <c r="H10" i="9"/>
  <c r="H11" i="9"/>
  <c r="H12" i="9"/>
  <c r="H13" i="9"/>
  <c r="H14" i="9"/>
  <c r="H15" i="9"/>
  <c r="H16" i="9"/>
  <c r="H17" i="9"/>
  <c r="G9" i="9"/>
  <c r="G10" i="9"/>
  <c r="G11" i="9"/>
  <c r="G12" i="9"/>
  <c r="G13" i="9"/>
  <c r="G14" i="9"/>
  <c r="G15" i="9"/>
  <c r="G16" i="9"/>
  <c r="G17" i="9"/>
  <c r="F9" i="9"/>
  <c r="F10" i="9"/>
  <c r="F11" i="9"/>
  <c r="F12" i="9"/>
  <c r="F13" i="9"/>
  <c r="F14" i="9"/>
  <c r="F15" i="9"/>
  <c r="F16" i="9"/>
  <c r="F17" i="9"/>
  <c r="E9" i="9"/>
  <c r="E10" i="9"/>
  <c r="E11" i="9"/>
  <c r="E12" i="9"/>
  <c r="E13" i="9"/>
  <c r="E14" i="9"/>
  <c r="E15" i="9"/>
  <c r="E16" i="9"/>
  <c r="E17" i="9"/>
  <c r="D9" i="9"/>
  <c r="D10" i="9"/>
  <c r="D11" i="9"/>
  <c r="D12" i="9"/>
  <c r="D13" i="9"/>
  <c r="D14" i="9"/>
  <c r="D15" i="9"/>
  <c r="D16" i="9"/>
  <c r="D17" i="9"/>
  <c r="C9" i="9"/>
  <c r="C10" i="9"/>
  <c r="C11" i="9"/>
  <c r="C12" i="9"/>
  <c r="C13" i="9"/>
  <c r="C14" i="9"/>
  <c r="C15" i="9"/>
  <c r="C16" i="9"/>
  <c r="C17" i="9"/>
  <c r="B9" i="9"/>
  <c r="B10" i="9"/>
  <c r="B11" i="9"/>
  <c r="B12" i="9"/>
  <c r="B13" i="9"/>
  <c r="B14" i="9"/>
  <c r="B15" i="9"/>
  <c r="B16" i="9"/>
  <c r="B17" i="9"/>
  <c r="C8" i="9"/>
  <c r="D8" i="9"/>
  <c r="E8" i="9"/>
  <c r="F8" i="9"/>
  <c r="G8" i="9"/>
  <c r="H8" i="9"/>
  <c r="I8" i="9"/>
  <c r="J8" i="9"/>
  <c r="B8" i="9"/>
  <c r="W3" i="11"/>
  <c r="W4" i="11"/>
  <c r="W5" i="11"/>
  <c r="W6" i="1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W54" i="11"/>
  <c r="W55" i="11"/>
  <c r="W56" i="11"/>
  <c r="W57" i="11"/>
  <c r="W58" i="11"/>
  <c r="W59" i="11"/>
  <c r="W60" i="11"/>
  <c r="W61" i="11"/>
  <c r="W62" i="11"/>
  <c r="W63" i="11"/>
  <c r="W64" i="11"/>
  <c r="W65" i="11"/>
  <c r="W66" i="11"/>
  <c r="W67" i="11"/>
  <c r="W68" i="11"/>
  <c r="W69" i="11"/>
  <c r="W70" i="11"/>
  <c r="W71" i="11"/>
  <c r="W72" i="11"/>
  <c r="W73" i="11"/>
  <c r="W74" i="11"/>
  <c r="W75" i="11"/>
  <c r="W76" i="11"/>
  <c r="W77" i="11"/>
  <c r="W78" i="11"/>
  <c r="W79" i="11"/>
  <c r="W80" i="11"/>
  <c r="W81" i="11"/>
  <c r="W82" i="11"/>
  <c r="W83" i="11"/>
  <c r="W84" i="11"/>
  <c r="W85" i="11"/>
  <c r="W86" i="11"/>
  <c r="W87" i="11"/>
  <c r="W88" i="11"/>
  <c r="W89" i="11"/>
  <c r="W90" i="11"/>
  <c r="W91" i="11"/>
  <c r="W92" i="11"/>
  <c r="W93" i="11"/>
  <c r="W94" i="11"/>
  <c r="W95" i="11"/>
  <c r="W96" i="11"/>
  <c r="W97" i="11"/>
  <c r="W98" i="11"/>
  <c r="W99" i="11"/>
  <c r="W100" i="11"/>
  <c r="W101" i="11"/>
  <c r="W102" i="11"/>
  <c r="W103" i="11"/>
  <c r="W104" i="11"/>
  <c r="W105" i="11"/>
  <c r="W106" i="11"/>
  <c r="W107" i="11"/>
  <c r="W108" i="11"/>
  <c r="W109" i="11"/>
  <c r="W110" i="11"/>
  <c r="W111" i="11"/>
  <c r="W112" i="11"/>
  <c r="W113" i="11"/>
  <c r="W114" i="11"/>
  <c r="W115" i="11"/>
  <c r="W116" i="11"/>
  <c r="W117" i="11"/>
  <c r="W118" i="11"/>
  <c r="W119" i="11"/>
  <c r="W120" i="11"/>
  <c r="W121" i="11"/>
  <c r="V3" i="11"/>
  <c r="V4" i="11"/>
  <c r="V5" i="11"/>
  <c r="V6" i="11"/>
  <c r="V7" i="11"/>
  <c r="V8" i="11"/>
  <c r="V9" i="11"/>
  <c r="V10" i="11"/>
  <c r="V11" i="11"/>
  <c r="V12" i="11"/>
  <c r="V13" i="11"/>
  <c r="V14" i="11"/>
  <c r="V15" i="11"/>
  <c r="V16" i="11"/>
  <c r="V17" i="11"/>
  <c r="V18" i="11"/>
  <c r="V19" i="11"/>
  <c r="V20" i="11"/>
  <c r="V21" i="11"/>
  <c r="V22" i="11"/>
  <c r="V23" i="11"/>
  <c r="V24" i="11"/>
  <c r="V25" i="11"/>
  <c r="V26" i="11"/>
  <c r="V27" i="11"/>
  <c r="V28" i="11"/>
  <c r="V29" i="11"/>
  <c r="V30" i="11"/>
  <c r="V31" i="11"/>
  <c r="V32" i="11"/>
  <c r="V33" i="11"/>
  <c r="V34" i="11"/>
  <c r="V35" i="11"/>
  <c r="V36" i="11"/>
  <c r="V37" i="11"/>
  <c r="V38" i="11"/>
  <c r="V39" i="11"/>
  <c r="V40" i="11"/>
  <c r="V41" i="11"/>
  <c r="V42" i="11"/>
  <c r="V43" i="11"/>
  <c r="V44" i="11"/>
  <c r="V45" i="11"/>
  <c r="V46" i="11"/>
  <c r="V47" i="11"/>
  <c r="V48" i="11"/>
  <c r="V49" i="11"/>
  <c r="V50" i="11"/>
  <c r="V51" i="11"/>
  <c r="V52" i="11"/>
  <c r="V53" i="11"/>
  <c r="V54" i="11"/>
  <c r="V55" i="11"/>
  <c r="V56" i="11"/>
  <c r="V57" i="11"/>
  <c r="V58" i="11"/>
  <c r="V59" i="11"/>
  <c r="V60" i="11"/>
  <c r="V61" i="11"/>
  <c r="V62" i="11"/>
  <c r="V63" i="11"/>
  <c r="V64" i="11"/>
  <c r="V65" i="11"/>
  <c r="V66" i="11"/>
  <c r="V67" i="11"/>
  <c r="V68" i="11"/>
  <c r="V69" i="11"/>
  <c r="V70" i="11"/>
  <c r="V71" i="11"/>
  <c r="V72" i="11"/>
  <c r="V73" i="11"/>
  <c r="V74" i="11"/>
  <c r="V75" i="11"/>
  <c r="V76" i="11"/>
  <c r="V77" i="11"/>
  <c r="V78" i="11"/>
  <c r="V79" i="11"/>
  <c r="V80" i="11"/>
  <c r="V81" i="11"/>
  <c r="V82" i="11"/>
  <c r="V83" i="11"/>
  <c r="V84" i="11"/>
  <c r="V85" i="11"/>
  <c r="V86" i="11"/>
  <c r="V87" i="11"/>
  <c r="V88" i="11"/>
  <c r="V89" i="11"/>
  <c r="V90" i="11"/>
  <c r="V91" i="11"/>
  <c r="V92" i="11"/>
  <c r="V93" i="11"/>
  <c r="V94" i="11"/>
  <c r="V95" i="11"/>
  <c r="V96" i="11"/>
  <c r="V97" i="11"/>
  <c r="V98" i="11"/>
  <c r="V99" i="11"/>
  <c r="V100" i="11"/>
  <c r="V101" i="11"/>
  <c r="V102" i="11"/>
  <c r="V103" i="11"/>
  <c r="V104" i="11"/>
  <c r="V105" i="11"/>
  <c r="V106" i="11"/>
  <c r="V107" i="11"/>
  <c r="V108" i="11"/>
  <c r="V109" i="11"/>
  <c r="V110" i="11"/>
  <c r="V111" i="11"/>
  <c r="V112" i="11"/>
  <c r="V113" i="11"/>
  <c r="V114" i="11"/>
  <c r="V115" i="11"/>
  <c r="V116" i="11"/>
  <c r="V117" i="11"/>
  <c r="V118" i="11"/>
  <c r="V119" i="11"/>
  <c r="V120" i="11"/>
  <c r="V121" i="11"/>
  <c r="U3" i="11"/>
  <c r="U4" i="11"/>
  <c r="U5" i="11"/>
  <c r="U6" i="11"/>
  <c r="U7" i="11"/>
  <c r="U8" i="11"/>
  <c r="U9" i="11"/>
  <c r="U10" i="11"/>
  <c r="U11" i="11"/>
  <c r="U12" i="11"/>
  <c r="U13" i="11"/>
  <c r="U14" i="11"/>
  <c r="U15" i="11"/>
  <c r="U16" i="11"/>
  <c r="U17" i="11"/>
  <c r="U18" i="11"/>
  <c r="U19" i="11"/>
  <c r="U20" i="11"/>
  <c r="U21" i="11"/>
  <c r="U22" i="11"/>
  <c r="U23" i="11"/>
  <c r="U24" i="11"/>
  <c r="U25" i="11"/>
  <c r="U26" i="11"/>
  <c r="U27" i="11"/>
  <c r="U28" i="11"/>
  <c r="U29" i="11"/>
  <c r="U30" i="11"/>
  <c r="U31" i="11"/>
  <c r="U32" i="11"/>
  <c r="U33" i="11"/>
  <c r="U34" i="11"/>
  <c r="U35" i="11"/>
  <c r="U36" i="11"/>
  <c r="U37" i="11"/>
  <c r="U38" i="11"/>
  <c r="U39" i="11"/>
  <c r="U40" i="11"/>
  <c r="U41" i="11"/>
  <c r="U42" i="11"/>
  <c r="U43" i="11"/>
  <c r="U44" i="11"/>
  <c r="U45" i="11"/>
  <c r="U46" i="11"/>
  <c r="U47" i="11"/>
  <c r="U48" i="11"/>
  <c r="U49" i="11"/>
  <c r="U50" i="11"/>
  <c r="U51" i="11"/>
  <c r="U52" i="11"/>
  <c r="U53" i="11"/>
  <c r="U54" i="11"/>
  <c r="U55" i="11"/>
  <c r="U56" i="11"/>
  <c r="U57" i="11"/>
  <c r="U58" i="11"/>
  <c r="U59" i="11"/>
  <c r="U60" i="11"/>
  <c r="U61" i="11"/>
  <c r="U62" i="11"/>
  <c r="U63" i="11"/>
  <c r="U64" i="11"/>
  <c r="U65" i="11"/>
  <c r="U66" i="11"/>
  <c r="U67" i="11"/>
  <c r="U68" i="11"/>
  <c r="U69" i="11"/>
  <c r="U70" i="11"/>
  <c r="U71" i="11"/>
  <c r="U72" i="11"/>
  <c r="U73" i="11"/>
  <c r="U74" i="11"/>
  <c r="U75" i="11"/>
  <c r="U76" i="11"/>
  <c r="U77" i="11"/>
  <c r="U78" i="11"/>
  <c r="U79" i="11"/>
  <c r="U80" i="11"/>
  <c r="U81" i="11"/>
  <c r="U82" i="11"/>
  <c r="U83" i="11"/>
  <c r="U84" i="11"/>
  <c r="U85" i="11"/>
  <c r="U86" i="11"/>
  <c r="U87" i="11"/>
  <c r="U88" i="11"/>
  <c r="U89" i="11"/>
  <c r="U90" i="11"/>
  <c r="U91" i="11"/>
  <c r="U92" i="11"/>
  <c r="U93" i="11"/>
  <c r="U94" i="11"/>
  <c r="U95" i="11"/>
  <c r="U96" i="11"/>
  <c r="U97" i="11"/>
  <c r="U98" i="11"/>
  <c r="U99" i="11"/>
  <c r="U100" i="11"/>
  <c r="U101" i="11"/>
  <c r="U102" i="11"/>
  <c r="U103" i="11"/>
  <c r="U104" i="11"/>
  <c r="U105" i="11"/>
  <c r="U106" i="11"/>
  <c r="U107" i="11"/>
  <c r="U108" i="11"/>
  <c r="U109" i="11"/>
  <c r="U110" i="11"/>
  <c r="U111" i="11"/>
  <c r="U112" i="11"/>
  <c r="U113" i="11"/>
  <c r="U114" i="11"/>
  <c r="U115" i="11"/>
  <c r="U116" i="11"/>
  <c r="U117" i="11"/>
  <c r="U118" i="11"/>
  <c r="U119" i="11"/>
  <c r="U120" i="11"/>
  <c r="U121" i="11"/>
  <c r="T3" i="11"/>
  <c r="T4" i="11"/>
  <c r="T5" i="11"/>
  <c r="T6" i="11"/>
  <c r="T7" i="11"/>
  <c r="T8" i="11"/>
  <c r="T9" i="11"/>
  <c r="T10" i="11"/>
  <c r="T11" i="11"/>
  <c r="T12" i="11"/>
  <c r="T13" i="11"/>
  <c r="T14" i="11"/>
  <c r="T15" i="11"/>
  <c r="T16" i="11"/>
  <c r="T17" i="11"/>
  <c r="T18" i="11"/>
  <c r="T19" i="11"/>
  <c r="T20" i="11"/>
  <c r="T21" i="11"/>
  <c r="T22" i="11"/>
  <c r="T23" i="11"/>
  <c r="T24" i="11"/>
  <c r="T25" i="11"/>
  <c r="T26" i="11"/>
  <c r="T27" i="11"/>
  <c r="T28" i="11"/>
  <c r="T29" i="11"/>
  <c r="T30" i="11"/>
  <c r="T31" i="11"/>
  <c r="T32" i="11"/>
  <c r="T33" i="11"/>
  <c r="T34" i="11"/>
  <c r="T35" i="11"/>
  <c r="T36" i="11"/>
  <c r="T37" i="11"/>
  <c r="T38" i="11"/>
  <c r="T39" i="11"/>
  <c r="T40" i="11"/>
  <c r="T41" i="11"/>
  <c r="T42" i="11"/>
  <c r="T43" i="11"/>
  <c r="T44" i="11"/>
  <c r="T45" i="11"/>
  <c r="T46" i="11"/>
  <c r="T47" i="11"/>
  <c r="T48" i="11"/>
  <c r="T49" i="11"/>
  <c r="T50" i="11"/>
  <c r="T51" i="11"/>
  <c r="T52" i="11"/>
  <c r="T53" i="11"/>
  <c r="T54" i="11"/>
  <c r="T55" i="11"/>
  <c r="T56" i="11"/>
  <c r="T57" i="11"/>
  <c r="T58" i="11"/>
  <c r="T59" i="11"/>
  <c r="T60" i="11"/>
  <c r="T61" i="11"/>
  <c r="T62" i="11"/>
  <c r="T63" i="11"/>
  <c r="T64" i="11"/>
  <c r="T65" i="11"/>
  <c r="T66" i="11"/>
  <c r="T67" i="11"/>
  <c r="T68" i="11"/>
  <c r="T69" i="11"/>
  <c r="T70" i="11"/>
  <c r="T71" i="11"/>
  <c r="T72" i="11"/>
  <c r="T73" i="11"/>
  <c r="T74" i="11"/>
  <c r="T75" i="11"/>
  <c r="T76" i="11"/>
  <c r="T77" i="11"/>
  <c r="T78" i="11"/>
  <c r="T79" i="11"/>
  <c r="T80" i="11"/>
  <c r="T81" i="11"/>
  <c r="T82" i="11"/>
  <c r="T83" i="11"/>
  <c r="T84" i="11"/>
  <c r="T85" i="11"/>
  <c r="T86" i="11"/>
  <c r="T87" i="11"/>
  <c r="T88" i="11"/>
  <c r="T89" i="11"/>
  <c r="T90" i="11"/>
  <c r="T91" i="11"/>
  <c r="T92" i="11"/>
  <c r="T93" i="11"/>
  <c r="T94" i="11"/>
  <c r="T95" i="11"/>
  <c r="T96" i="11"/>
  <c r="T97" i="11"/>
  <c r="T98" i="11"/>
  <c r="T99" i="11"/>
  <c r="T100" i="11"/>
  <c r="T101" i="11"/>
  <c r="T102" i="11"/>
  <c r="T103" i="11"/>
  <c r="T104" i="11"/>
  <c r="T105" i="11"/>
  <c r="T106" i="11"/>
  <c r="T107" i="11"/>
  <c r="T108" i="11"/>
  <c r="T109" i="11"/>
  <c r="T110" i="11"/>
  <c r="T111" i="11"/>
  <c r="T112" i="11"/>
  <c r="T113" i="11"/>
  <c r="T114" i="11"/>
  <c r="T115" i="11"/>
  <c r="T116" i="11"/>
  <c r="T117" i="11"/>
  <c r="T118" i="11"/>
  <c r="T119" i="11"/>
  <c r="T120" i="11"/>
  <c r="T121" i="11"/>
  <c r="S3" i="11"/>
  <c r="S4" i="11"/>
  <c r="S5" i="11"/>
  <c r="S6" i="11"/>
  <c r="S7" i="11"/>
  <c r="S8" i="11"/>
  <c r="S9" i="11"/>
  <c r="S10" i="11"/>
  <c r="S11" i="11"/>
  <c r="S12" i="11"/>
  <c r="S13" i="11"/>
  <c r="S14" i="11"/>
  <c r="S15" i="1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S45" i="11"/>
  <c r="S46" i="11"/>
  <c r="S47" i="11"/>
  <c r="S48" i="11"/>
  <c r="S49" i="11"/>
  <c r="S50" i="11"/>
  <c r="S51" i="11"/>
  <c r="S52" i="11"/>
  <c r="S53" i="11"/>
  <c r="S54" i="11"/>
  <c r="S55" i="11"/>
  <c r="S56" i="11"/>
  <c r="S57" i="11"/>
  <c r="S58" i="11"/>
  <c r="S59" i="11"/>
  <c r="S60" i="11"/>
  <c r="S61" i="11"/>
  <c r="S62" i="11"/>
  <c r="S63" i="11"/>
  <c r="S64" i="11"/>
  <c r="S65" i="11"/>
  <c r="S66" i="11"/>
  <c r="S67" i="11"/>
  <c r="S68" i="11"/>
  <c r="S69" i="11"/>
  <c r="S70" i="11"/>
  <c r="S71" i="11"/>
  <c r="S72" i="11"/>
  <c r="S73" i="11"/>
  <c r="S74" i="11"/>
  <c r="S75" i="11"/>
  <c r="S76" i="11"/>
  <c r="S77" i="11"/>
  <c r="S78" i="11"/>
  <c r="S79" i="11"/>
  <c r="S80" i="11"/>
  <c r="S81" i="11"/>
  <c r="S82" i="11"/>
  <c r="S83" i="11"/>
  <c r="S84" i="11"/>
  <c r="S85" i="11"/>
  <c r="S86" i="11"/>
  <c r="S87" i="11"/>
  <c r="S88" i="11"/>
  <c r="S89" i="11"/>
  <c r="S90" i="11"/>
  <c r="S91" i="11"/>
  <c r="S92" i="11"/>
  <c r="S93" i="11"/>
  <c r="S94" i="11"/>
  <c r="S95" i="11"/>
  <c r="S96" i="11"/>
  <c r="S97" i="11"/>
  <c r="S98" i="11"/>
  <c r="S99" i="11"/>
  <c r="S100" i="11"/>
  <c r="S101" i="11"/>
  <c r="S102" i="11"/>
  <c r="S103" i="11"/>
  <c r="S104" i="11"/>
  <c r="S105" i="11"/>
  <c r="S106" i="11"/>
  <c r="S107" i="11"/>
  <c r="S108" i="11"/>
  <c r="S109" i="11"/>
  <c r="S110" i="11"/>
  <c r="S111" i="11"/>
  <c r="S112" i="11"/>
  <c r="S113" i="11"/>
  <c r="S114" i="11"/>
  <c r="S115" i="11"/>
  <c r="S116" i="11"/>
  <c r="S117" i="11"/>
  <c r="S118" i="11"/>
  <c r="S119" i="11"/>
  <c r="S120" i="11"/>
  <c r="S121" i="11"/>
  <c r="R3" i="11"/>
  <c r="R4" i="11"/>
  <c r="R5" i="11"/>
  <c r="R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8" i="11"/>
  <c r="R99" i="11"/>
  <c r="R100" i="11"/>
  <c r="R101" i="11"/>
  <c r="R102" i="11"/>
  <c r="R103" i="11"/>
  <c r="R104" i="11"/>
  <c r="R105" i="11"/>
  <c r="R106" i="11"/>
  <c r="R107" i="11"/>
  <c r="R108" i="11"/>
  <c r="R109" i="11"/>
  <c r="R110" i="11"/>
  <c r="R111" i="11"/>
  <c r="R112" i="11"/>
  <c r="R113" i="11"/>
  <c r="R114" i="11"/>
  <c r="R115" i="11"/>
  <c r="R116" i="11"/>
  <c r="R117" i="11"/>
  <c r="R118" i="11"/>
  <c r="R119" i="11"/>
  <c r="R120" i="11"/>
  <c r="R121" i="11"/>
  <c r="Q3" i="11"/>
  <c r="Q4" i="11"/>
  <c r="Q5" i="11"/>
  <c r="Q6" i="11"/>
  <c r="Q7" i="11"/>
  <c r="Q8" i="11"/>
  <c r="Q9" i="11"/>
  <c r="Q10" i="11"/>
  <c r="Q11" i="11"/>
  <c r="Q12" i="11"/>
  <c r="Q13" i="11"/>
  <c r="Q14" i="11"/>
  <c r="Q15" i="1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Q45" i="11"/>
  <c r="Q46" i="11"/>
  <c r="Q47" i="11"/>
  <c r="Q48" i="11"/>
  <c r="Q49" i="11"/>
  <c r="Q50" i="11"/>
  <c r="Q51" i="11"/>
  <c r="Q52" i="11"/>
  <c r="Q53" i="11"/>
  <c r="Q54" i="11"/>
  <c r="Q55" i="11"/>
  <c r="Q56" i="11"/>
  <c r="Q57" i="11"/>
  <c r="Q58" i="11"/>
  <c r="Q59" i="11"/>
  <c r="Q60" i="11"/>
  <c r="Q61" i="11"/>
  <c r="Q62" i="11"/>
  <c r="Q63" i="11"/>
  <c r="Q64" i="11"/>
  <c r="Q65" i="11"/>
  <c r="Q66" i="11"/>
  <c r="Q67" i="11"/>
  <c r="Q68" i="11"/>
  <c r="Q69" i="11"/>
  <c r="Q70" i="11"/>
  <c r="Q71" i="11"/>
  <c r="Q72" i="11"/>
  <c r="Q73" i="11"/>
  <c r="Q74" i="11"/>
  <c r="Q75" i="11"/>
  <c r="Q76" i="11"/>
  <c r="Q77" i="11"/>
  <c r="Q78" i="11"/>
  <c r="Q79" i="11"/>
  <c r="Q80" i="11"/>
  <c r="Q81" i="11"/>
  <c r="Q82" i="11"/>
  <c r="Q83" i="11"/>
  <c r="Q84" i="11"/>
  <c r="Q85" i="11"/>
  <c r="Q86" i="11"/>
  <c r="Q87" i="11"/>
  <c r="Q88" i="11"/>
  <c r="Q89" i="11"/>
  <c r="Q90" i="11"/>
  <c r="Q91" i="11"/>
  <c r="Q92" i="11"/>
  <c r="Q93" i="11"/>
  <c r="Q94" i="11"/>
  <c r="Q95" i="11"/>
  <c r="Q96" i="11"/>
  <c r="Q97" i="11"/>
  <c r="Q98" i="11"/>
  <c r="Q99" i="11"/>
  <c r="Q100" i="11"/>
  <c r="Q101" i="11"/>
  <c r="Q102" i="11"/>
  <c r="Q103" i="11"/>
  <c r="Q104" i="11"/>
  <c r="Q105" i="11"/>
  <c r="Q106" i="11"/>
  <c r="Q107" i="11"/>
  <c r="Q108" i="11"/>
  <c r="Q109" i="11"/>
  <c r="Q110" i="11"/>
  <c r="Q111" i="11"/>
  <c r="Q112" i="11"/>
  <c r="Q113" i="11"/>
  <c r="Q114" i="11"/>
  <c r="Q115" i="11"/>
  <c r="Q116" i="11"/>
  <c r="Q117" i="11"/>
  <c r="Q118" i="11"/>
  <c r="Q119" i="11"/>
  <c r="Q120" i="11"/>
  <c r="Q121" i="11"/>
  <c r="P3" i="11"/>
  <c r="P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0"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5" i="11"/>
  <c r="P106" i="11"/>
  <c r="P107" i="11"/>
  <c r="P108" i="11"/>
  <c r="P109" i="11"/>
  <c r="P110" i="11"/>
  <c r="P111" i="11"/>
  <c r="P112" i="11"/>
  <c r="P113" i="11"/>
  <c r="P114" i="11"/>
  <c r="P115" i="11"/>
  <c r="P116" i="11"/>
  <c r="P117" i="11"/>
  <c r="P118" i="11"/>
  <c r="P119" i="11"/>
  <c r="P120" i="11"/>
  <c r="P121"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N3" i="11"/>
  <c r="N4" i="1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Q2" i="11"/>
  <c r="R2" i="11" s="1"/>
  <c r="S2" i="11" s="1"/>
  <c r="T2" i="11" s="1"/>
  <c r="U2" i="11" s="1"/>
  <c r="V2" i="11" s="1"/>
  <c r="W2" i="11" s="1"/>
  <c r="P2" i="11"/>
  <c r="N2" i="11"/>
  <c r="M3" i="11"/>
  <c r="M4"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L3" i="1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D2" i="11"/>
  <c r="E2" i="11" s="1"/>
  <c r="F2" i="11" s="1"/>
  <c r="G2" i="11" s="1"/>
  <c r="H2" i="11" s="1"/>
  <c r="I2" i="11" s="1"/>
  <c r="J2" i="11" s="1"/>
  <c r="K2" i="11" s="1"/>
  <c r="L2" i="11" s="1"/>
  <c r="M2" i="11" s="1"/>
  <c r="C2" i="11"/>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2" i="11"/>
  <c r="A3" i="11"/>
  <c r="A4" i="11" s="1"/>
  <c r="A5" i="11" s="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3" i="10"/>
  <c r="A4" i="10" s="1"/>
  <c r="A5" i="10" s="1"/>
  <c r="A6" i="10" s="1"/>
  <c r="A7" i="10" s="1"/>
  <c r="A8" i="10" s="1"/>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9" i="10" s="1"/>
  <c r="A90" i="10" s="1"/>
  <c r="A91" i="10" s="1"/>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111" i="10" s="1"/>
  <c r="A112" i="10" s="1"/>
  <c r="A113" i="10" s="1"/>
  <c r="A114" i="10" s="1"/>
  <c r="A115" i="10" s="1"/>
  <c r="A116" i="10" s="1"/>
  <c r="A117" i="10" s="1"/>
  <c r="A118" i="10" s="1"/>
  <c r="A119" i="10" s="1"/>
  <c r="A120" i="10" s="1"/>
  <c r="A121" i="10" s="1"/>
  <c r="N95" i="9" l="1"/>
  <c r="N99" i="9" s="1"/>
  <c r="B73" i="9"/>
  <c r="B86" i="9" s="1"/>
  <c r="B87" i="9"/>
  <c r="B88" i="9"/>
  <c r="B103" i="9"/>
  <c r="B95" i="9"/>
  <c r="B99" i="9" s="1"/>
  <c r="A3" i="5"/>
  <c r="A4" i="5" s="1"/>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R103" i="9" l="1" a="1"/>
  <c r="R103" i="9" s="1"/>
  <c r="V103" i="9" a="1"/>
  <c r="V103" i="9" s="1"/>
  <c r="S103" i="9" a="1"/>
  <c r="S103" i="9" s="1"/>
  <c r="Q103" i="9" a="1"/>
  <c r="Q103" i="9" s="1"/>
  <c r="T103" i="9" a="1"/>
  <c r="T103" i="9" s="1"/>
  <c r="U103" i="9" a="1"/>
  <c r="U103" i="9" s="1"/>
  <c r="P103" i="9" a="1"/>
  <c r="P103" i="9" s="1"/>
  <c r="W103" i="9" a="1"/>
  <c r="W103" i="9" s="1"/>
  <c r="X103" i="9" a="1"/>
  <c r="X103" i="9" s="1"/>
  <c r="N103" i="9" a="1"/>
  <c r="N103" i="9" s="1"/>
  <c r="O103" i="9" a="1"/>
  <c r="O103" i="9" s="1"/>
  <c r="Y103" i="9" a="1"/>
  <c r="Y103"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<sst xmlns="http://schemas.openxmlformats.org/spreadsheetml/2006/main" count="7874" uniqueCount="336">
  <si>
    <t>1st of Commencement month (DD/MM/YYYY)</t>
  </si>
  <si>
    <t>Inception year</t>
  </si>
  <si>
    <t>Lapse counts per month grouped by inception year:</t>
  </si>
  <si>
    <t>Crude lapse rate calculation:</t>
  </si>
  <si>
    <r>
      <t xml:space="preserve">Those that </t>
    </r>
    <r>
      <rPr>
        <b/>
        <i/>
        <sz val="11"/>
        <color theme="1"/>
        <rFont val="Aptos Narrow"/>
        <family val="2"/>
        <scheme val="minor"/>
      </rPr>
      <t>could</t>
    </r>
    <r>
      <rPr>
        <b/>
        <sz val="11"/>
        <color theme="1"/>
        <rFont val="Aptos Narrow"/>
        <family val="2"/>
        <scheme val="minor"/>
      </rPr>
      <t xml:space="preserve"> lapse (i.e., are exposed) - allowing for deaths):</t>
    </r>
  </si>
  <si>
    <t>Rate (monthly/annual)</t>
  </si>
  <si>
    <t>Monthly rates:</t>
  </si>
  <si>
    <t>Lapse rates used in model:</t>
  </si>
  <si>
    <t>Monthly and implied monthly rates lapse rates:</t>
  </si>
  <si>
    <t>Input for graph:</t>
  </si>
  <si>
    <t>Lapse rates:</t>
  </si>
  <si>
    <t>Month:</t>
  </si>
  <si>
    <t>Lapse rates calculated over different historical periods</t>
  </si>
  <si>
    <t>Rate (monthly/annual) using last 10 years of data</t>
  </si>
  <si>
    <t>Rate (monthly/annual) using last 5 years of data</t>
  </si>
  <si>
    <t>Rate (monthly/annual) using last 3 years of data</t>
  </si>
  <si>
    <t>Lapse counts per month for first year, and annual thereafter, grouped by inception year:</t>
  </si>
  <si>
    <t>Death counts per month for first year, and annual thereafter, grouped by inception year:</t>
  </si>
  <si>
    <t>Month 1</t>
  </si>
  <si>
    <t>Month 2</t>
  </si>
  <si>
    <t>Month 3</t>
  </si>
  <si>
    <t>Month 4</t>
  </si>
  <si>
    <t>Month 5</t>
  </si>
  <si>
    <t>Month 6</t>
  </si>
  <si>
    <t>Month 7</t>
  </si>
  <si>
    <t>Month 8</t>
  </si>
  <si>
    <t>Month 9</t>
  </si>
  <si>
    <t>Month 10</t>
  </si>
  <si>
    <t>Month 11</t>
  </si>
  <si>
    <t>Month 12</t>
  </si>
  <si>
    <t>Year 2</t>
  </si>
  <si>
    <t>Year 3</t>
  </si>
  <si>
    <t>Year 4</t>
  </si>
  <si>
    <t>Year 5</t>
  </si>
  <si>
    <t>Year 6</t>
  </si>
  <si>
    <t>Year 7</t>
  </si>
  <si>
    <t>Year 8</t>
  </si>
  <si>
    <t>Year 9</t>
  </si>
  <si>
    <t>Year 10</t>
  </si>
  <si>
    <t>Month 13</t>
  </si>
  <si>
    <t>Month 14</t>
  </si>
  <si>
    <t>Month 15</t>
  </si>
  <si>
    <t>Month 16</t>
  </si>
  <si>
    <t>Month 17</t>
  </si>
  <si>
    <t>Month 18</t>
  </si>
  <si>
    <t>Month 19</t>
  </si>
  <si>
    <t>Month 20</t>
  </si>
  <si>
    <t>Month 21</t>
  </si>
  <si>
    <t>Month 22</t>
  </si>
  <si>
    <t>Month 23</t>
  </si>
  <si>
    <t>Month 24</t>
  </si>
  <si>
    <t>Month 25</t>
  </si>
  <si>
    <t>Month 26</t>
  </si>
  <si>
    <t>Month 27</t>
  </si>
  <si>
    <t>Month 28</t>
  </si>
  <si>
    <t>Month 29</t>
  </si>
  <si>
    <t>Month 30</t>
  </si>
  <si>
    <t>Month 31</t>
  </si>
  <si>
    <t>Month 32</t>
  </si>
  <si>
    <t>Month 33</t>
  </si>
  <si>
    <t>Month 34</t>
  </si>
  <si>
    <t>Month 35</t>
  </si>
  <si>
    <t>Month 36</t>
  </si>
  <si>
    <t>Month 37</t>
  </si>
  <si>
    <t>Month 38</t>
  </si>
  <si>
    <t>Month 39</t>
  </si>
  <si>
    <t>Month 40</t>
  </si>
  <si>
    <t>Month 41</t>
  </si>
  <si>
    <t>Month 42</t>
  </si>
  <si>
    <t>Month 43</t>
  </si>
  <si>
    <t>Month 44</t>
  </si>
  <si>
    <t>Month 45</t>
  </si>
  <si>
    <t>Month 46</t>
  </si>
  <si>
    <t>Month 47</t>
  </si>
  <si>
    <t>Month 48</t>
  </si>
  <si>
    <t>Month 49</t>
  </si>
  <si>
    <t>Month 50</t>
  </si>
  <si>
    <t>Month 51</t>
  </si>
  <si>
    <t>Month 52</t>
  </si>
  <si>
    <t>Month 53</t>
  </si>
  <si>
    <t>Month 54</t>
  </si>
  <si>
    <t>Month 55</t>
  </si>
  <si>
    <t>Month 56</t>
  </si>
  <si>
    <t>Month 57</t>
  </si>
  <si>
    <t>Month 58</t>
  </si>
  <si>
    <t>Month 59</t>
  </si>
  <si>
    <t>Month 60</t>
  </si>
  <si>
    <t>Month 61</t>
  </si>
  <si>
    <t>Month 62</t>
  </si>
  <si>
    <t>Month 63</t>
  </si>
  <si>
    <t>Month 64</t>
  </si>
  <si>
    <t>Month 65</t>
  </si>
  <si>
    <t>Month 66</t>
  </si>
  <si>
    <t>Month 67</t>
  </si>
  <si>
    <t>Month 68</t>
  </si>
  <si>
    <t>Month 69</t>
  </si>
  <si>
    <t>Month 70</t>
  </si>
  <si>
    <t>Month 71</t>
  </si>
  <si>
    <t>Month 72</t>
  </si>
  <si>
    <t>Month 73</t>
  </si>
  <si>
    <t>Month 74</t>
  </si>
  <si>
    <t>Month 75</t>
  </si>
  <si>
    <t>Month 76</t>
  </si>
  <si>
    <t>Month 77</t>
  </si>
  <si>
    <t>Month 78</t>
  </si>
  <si>
    <t>Month 79</t>
  </si>
  <si>
    <t>Month 80</t>
  </si>
  <si>
    <t>Month 81</t>
  </si>
  <si>
    <t>Month 82</t>
  </si>
  <si>
    <t>Month 83</t>
  </si>
  <si>
    <t>Month 84</t>
  </si>
  <si>
    <t>Month 85</t>
  </si>
  <si>
    <t>Month 86</t>
  </si>
  <si>
    <t>Month 87</t>
  </si>
  <si>
    <t>Month 88</t>
  </si>
  <si>
    <t>Month 89</t>
  </si>
  <si>
    <t>Month 90</t>
  </si>
  <si>
    <t>Month 91</t>
  </si>
  <si>
    <t>Month 92</t>
  </si>
  <si>
    <t>Month 93</t>
  </si>
  <si>
    <t>Month 94</t>
  </si>
  <si>
    <t>Month 95</t>
  </si>
  <si>
    <t>Month 96</t>
  </si>
  <si>
    <t>Month 97</t>
  </si>
  <si>
    <t>Month 98</t>
  </si>
  <si>
    <t>Month 99</t>
  </si>
  <si>
    <t>Month 100</t>
  </si>
  <si>
    <t>Month 101</t>
  </si>
  <si>
    <t>Month 102</t>
  </si>
  <si>
    <t>Month 103</t>
  </si>
  <si>
    <t>Month 104</t>
  </si>
  <si>
    <t>Month 105</t>
  </si>
  <si>
    <t>Month 106</t>
  </si>
  <si>
    <t>Month 107</t>
  </si>
  <si>
    <t>Month 108</t>
  </si>
  <si>
    <t>Month 109</t>
  </si>
  <si>
    <t>Month 110</t>
  </si>
  <si>
    <t>Month 111</t>
  </si>
  <si>
    <t>Month 112</t>
  </si>
  <si>
    <t>Month 113</t>
  </si>
  <si>
    <t>Month 114</t>
  </si>
  <si>
    <t>Month 115</t>
  </si>
  <si>
    <t>Month 116</t>
  </si>
  <si>
    <t>Month 117</t>
  </si>
  <si>
    <t>Month 118</t>
  </si>
  <si>
    <t>Month 119</t>
  </si>
  <si>
    <t>Month 120</t>
  </si>
  <si>
    <t>Year 11</t>
  </si>
  <si>
    <t>Monthly rate applied in Year 2</t>
  </si>
  <si>
    <t>Monthly rate applied in Year 3</t>
  </si>
  <si>
    <t>Monthly rate applied in Year 4</t>
  </si>
  <si>
    <t>Monthly rate applied in Year 5</t>
  </si>
  <si>
    <t>Monthly rate applied in Year 6</t>
  </si>
  <si>
    <t>Monthly rate applied in Year 7</t>
  </si>
  <si>
    <t>Monthly rate applied in Year 8</t>
  </si>
  <si>
    <t>Monthly rate applied in Year 9</t>
  </si>
  <si>
    <t>Monthly rate applied in Year 10</t>
  </si>
  <si>
    <t>Policies IF at start of every duration (months for first year and annual thereafter), grouped by inception year:</t>
  </si>
  <si>
    <t>Policies incepted in month 1</t>
  </si>
  <si>
    <t>Policies IF at start of Month 2</t>
  </si>
  <si>
    <t>Policies IF at start of Month 3</t>
  </si>
  <si>
    <t>Policies IF at start of Month 4</t>
  </si>
  <si>
    <t>Policies IF at start of Month 5</t>
  </si>
  <si>
    <t>Policies IF at start of Month 6</t>
  </si>
  <si>
    <t>Policies IF at start of Month 7</t>
  </si>
  <si>
    <t>Policies IF at start of Month 8</t>
  </si>
  <si>
    <t>Policies IF at start of Month 9</t>
  </si>
  <si>
    <t>Policies IF at start of Month 10</t>
  </si>
  <si>
    <t>Policies IF at start of Month 11</t>
  </si>
  <si>
    <t>Policies IF at start of Month 12</t>
  </si>
  <si>
    <t>Policies IF at start of Year 2</t>
  </si>
  <si>
    <t>Policies IF at start of Year 3</t>
  </si>
  <si>
    <t>Policies IF at start of Year 4</t>
  </si>
  <si>
    <t>Policies IF at start of Year 5</t>
  </si>
  <si>
    <t>Policies IF at start of Year 6</t>
  </si>
  <si>
    <t>Policies IF at start of Year 7</t>
  </si>
  <si>
    <t>Policies IF at start of Year 8</t>
  </si>
  <si>
    <t>Policies IF at start of Year 9</t>
  </si>
  <si>
    <t>Policies IF at start of Year 10</t>
  </si>
  <si>
    <t>Policies IF at start of Year 11</t>
  </si>
  <si>
    <t>Claims in Month 1</t>
  </si>
  <si>
    <t>Claims in Month 2</t>
  </si>
  <si>
    <t>Claims in Month 3</t>
  </si>
  <si>
    <t>Claims in Month 4</t>
  </si>
  <si>
    <t>Claims in Month 5</t>
  </si>
  <si>
    <t>Claims in Month 6</t>
  </si>
  <si>
    <t>Claims in Month 7</t>
  </si>
  <si>
    <t>Claims in Month 8</t>
  </si>
  <si>
    <t>Claims in Month 9</t>
  </si>
  <si>
    <t>Claims in Month 10</t>
  </si>
  <si>
    <t>Claims in Month 11</t>
  </si>
  <si>
    <t>Claims in Month 12</t>
  </si>
  <si>
    <t>Claims in Year 2</t>
  </si>
  <si>
    <t>Claims in Year 3</t>
  </si>
  <si>
    <t>Claims in Year 4</t>
  </si>
  <si>
    <t>Claims in Year 5</t>
  </si>
  <si>
    <t>Claims in Year 6</t>
  </si>
  <si>
    <t>Claims in Year 7</t>
  </si>
  <si>
    <t>Claims in Year 8</t>
  </si>
  <si>
    <t>Claims in Year 9</t>
  </si>
  <si>
    <t>Claims in Year 10</t>
  </si>
  <si>
    <t/>
  </si>
  <si>
    <t>Lapses in Month 1</t>
  </si>
  <si>
    <t>Lapses in Month 2</t>
  </si>
  <si>
    <t>Lapses in Month 3</t>
  </si>
  <si>
    <t>Lapses in Month 4</t>
  </si>
  <si>
    <t>Lapses in Month 5</t>
  </si>
  <si>
    <t>Lapses in Month 6</t>
  </si>
  <si>
    <t>Lapses in Month 7</t>
  </si>
  <si>
    <t>Lapses in Month 8</t>
  </si>
  <si>
    <t>Lapses in Month 9</t>
  </si>
  <si>
    <t>Lapses in Month 10</t>
  </si>
  <si>
    <t>Lapses in Month 11</t>
  </si>
  <si>
    <t>Lapses in Month 12</t>
  </si>
  <si>
    <t>Lapses in Month 13</t>
  </si>
  <si>
    <t>Lapses in Month 14</t>
  </si>
  <si>
    <t>Lapses in Month 15</t>
  </si>
  <si>
    <t>Lapses in Month 16</t>
  </si>
  <si>
    <t>Lapses in Month 17</t>
  </si>
  <si>
    <t>Lapses in Month 18</t>
  </si>
  <si>
    <t>Lapses in Month 19</t>
  </si>
  <si>
    <t>Lapses in Month 20</t>
  </si>
  <si>
    <t>Lapses in Month 21</t>
  </si>
  <si>
    <t>Lapses in Month 22</t>
  </si>
  <si>
    <t>Lapses in Month 23</t>
  </si>
  <si>
    <t>Lapses in Month 24</t>
  </si>
  <si>
    <t>Lapses in Month 25</t>
  </si>
  <si>
    <t>Lapses in Month 26</t>
  </si>
  <si>
    <t>Lapses in Month 27</t>
  </si>
  <si>
    <t>Lapses in Month 28</t>
  </si>
  <si>
    <t>Lapses in Month 29</t>
  </si>
  <si>
    <t>Lapses in Month 30</t>
  </si>
  <si>
    <t>Lapses in Month 31</t>
  </si>
  <si>
    <t>Lapses in Month 32</t>
  </si>
  <si>
    <t>Lapses in Month 33</t>
  </si>
  <si>
    <t>Lapses in Month 34</t>
  </si>
  <si>
    <t>Lapses in Month 35</t>
  </si>
  <si>
    <t>Lapses in Month 36</t>
  </si>
  <si>
    <t>Lapses in Month 37</t>
  </si>
  <si>
    <t>Lapses in Month 38</t>
  </si>
  <si>
    <t>Lapses in Month 39</t>
  </si>
  <si>
    <t>Lapses in Month 40</t>
  </si>
  <si>
    <t>Lapses in Month 41</t>
  </si>
  <si>
    <t>Lapses in Month 42</t>
  </si>
  <si>
    <t>Lapses in Month 43</t>
  </si>
  <si>
    <t>Lapses in Month 44</t>
  </si>
  <si>
    <t>Lapses in Month 45</t>
  </si>
  <si>
    <t>Lapses in Month 46</t>
  </si>
  <si>
    <t>Lapses in Month 47</t>
  </si>
  <si>
    <t>Lapses in Month 48</t>
  </si>
  <si>
    <t>Lapses in Month 49</t>
  </si>
  <si>
    <t>Lapses in Month 50</t>
  </si>
  <si>
    <t>Lapses in Month 51</t>
  </si>
  <si>
    <t>Lapses in Month 52</t>
  </si>
  <si>
    <t>Lapses in Month 53</t>
  </si>
  <si>
    <t>Lapses in Month 54</t>
  </si>
  <si>
    <t>Lapses in Month 55</t>
  </si>
  <si>
    <t>Lapses in Month 56</t>
  </si>
  <si>
    <t>Lapses in Month 57</t>
  </si>
  <si>
    <t>Lapses in Month 58</t>
  </si>
  <si>
    <t>Lapses in Month 59</t>
  </si>
  <si>
    <t>Lapses in Month 60</t>
  </si>
  <si>
    <t>Lapses in Month 61</t>
  </si>
  <si>
    <t>Lapses in Month 62</t>
  </si>
  <si>
    <t>Lapses in Month 63</t>
  </si>
  <si>
    <t>Lapses in Month 64</t>
  </si>
  <si>
    <t>Lapses in Month 65</t>
  </si>
  <si>
    <t>Lapses in Month 66</t>
  </si>
  <si>
    <t>Lapses in Month 67</t>
  </si>
  <si>
    <t>Lapses in Month 68</t>
  </si>
  <si>
    <t>Lapses in Month 69</t>
  </si>
  <si>
    <t>Lapses in Month 70</t>
  </si>
  <si>
    <t>Lapses in Month 71</t>
  </si>
  <si>
    <t>Lapses in Month 72</t>
  </si>
  <si>
    <t>Lapses in Month 73</t>
  </si>
  <si>
    <t>Lapses in Month 74</t>
  </si>
  <si>
    <t>Lapses in Month 75</t>
  </si>
  <si>
    <t>Lapses in Month 76</t>
  </si>
  <si>
    <t>Lapses in Month 77</t>
  </si>
  <si>
    <t>Lapses in Month 78</t>
  </si>
  <si>
    <t>Lapses in Month 79</t>
  </si>
  <si>
    <t>Lapses in Month 80</t>
  </si>
  <si>
    <t>Lapses in Month 81</t>
  </si>
  <si>
    <t>Lapses in Month 82</t>
  </si>
  <si>
    <t>Lapses in Month 83</t>
  </si>
  <si>
    <t>Lapses in Month 84</t>
  </si>
  <si>
    <t>Lapses in Month 85</t>
  </si>
  <si>
    <t>Lapses in Month 86</t>
  </si>
  <si>
    <t>Lapses in Month 87</t>
  </si>
  <si>
    <t>Lapses in Month 88</t>
  </si>
  <si>
    <t>Lapses in Month 89</t>
  </si>
  <si>
    <t>Lapses in Month 90</t>
  </si>
  <si>
    <t>Lapses in Month 91</t>
  </si>
  <si>
    <t>Lapses in Month 92</t>
  </si>
  <si>
    <t>Lapses in Month 93</t>
  </si>
  <si>
    <t>Lapses in Month 94</t>
  </si>
  <si>
    <t>Lapses in Month 95</t>
  </si>
  <si>
    <t>Lapses in Month 96</t>
  </si>
  <si>
    <t>Lapses in Month 97</t>
  </si>
  <si>
    <t>Lapses in Month 98</t>
  </si>
  <si>
    <t>Lapses in Month 99</t>
  </si>
  <si>
    <t>Lapses in Month 100</t>
  </si>
  <si>
    <t>Lapses in Month 101</t>
  </si>
  <si>
    <t>Lapses in Month 102</t>
  </si>
  <si>
    <t>Lapses in Month 103</t>
  </si>
  <si>
    <t>Lapses in Month 104</t>
  </si>
  <si>
    <t>Lapses in Month 105</t>
  </si>
  <si>
    <t>Lapses in Month 106</t>
  </si>
  <si>
    <t>Lapses in Month 107</t>
  </si>
  <si>
    <t>Lapses in Month 108</t>
  </si>
  <si>
    <t>Lapses in Month 109</t>
  </si>
  <si>
    <t>Lapses in Month 110</t>
  </si>
  <si>
    <t>Lapses in Month 111</t>
  </si>
  <si>
    <t>Lapses in Month 112</t>
  </si>
  <si>
    <t>Lapses in Month 113</t>
  </si>
  <si>
    <t>Lapses in Month 114</t>
  </si>
  <si>
    <t>Lapses in Month 115</t>
  </si>
  <si>
    <t>Lapses in Month 116</t>
  </si>
  <si>
    <t>Lapses in Month 117</t>
  </si>
  <si>
    <t>Lapses in Month 118</t>
  </si>
  <si>
    <t>Lapses in Month 119</t>
  </si>
  <si>
    <t>Lapses in Month 120</t>
  </si>
  <si>
    <t>Question (i):</t>
  </si>
  <si>
    <t>Question (iv) comment:</t>
  </si>
  <si>
    <t>Graph:</t>
  </si>
  <si>
    <t>Question (iii) comment:</t>
  </si>
  <si>
    <t>Policies incepted</t>
  </si>
  <si>
    <t>Student number:</t>
  </si>
  <si>
    <t>Year</t>
  </si>
  <si>
    <t>Lapses_Y2</t>
  </si>
  <si>
    <t>Assumptions used : uniform distribution of deaths over any month or year , uniform distribution of individuals incepting within any month, and assume that mortality and 
Lapses are the only decrements considered.</t>
  </si>
  <si>
    <t>Formulas:</t>
  </si>
  <si>
    <t>The lapse rate decreases with months. Policyholders within the first few months of joining a policy are more likely to lapse this may be because of reasons such as not affording the insurance product , expectations not met , and some common big life changes  . The shape is what you’d expect for a large retail life book. The lapse rate falls as the remaining policyholders are those who genuinely want and can afford the cover. It settles into a low, fairly steady tail this is because most of the policyholders would not want to lapse near the maturity date. Overall, the pattern is sensible and fits the assumptions made.</t>
  </si>
  <si>
    <t>Assumption: uniform distribution of individuals incepting within any month</t>
  </si>
  <si>
    <t xml:space="preserve"> Checks :
-Sanity checks on values &amp; rates
What: (a) non-negative counts death and lapse counts; (b) extreme crude monthly lapse rates(e.g., &gt;40%/month)                                                                                                                                                                                -Every cohort_start date in Lapse_data also exists in Death_data, Inception_data, and Policies_In-Force.
Why: Stops unnoticed data matching mistakes that would skew how much exposure or how many events we count.
-Recursion of in-force from month to month (Year 1)
Why: Validates that the in-force run off is internally consistent with decrements.
-Recursion of in-force by policy year (Years 2–10)
Why: Ensures monthly lapses (months 13–120) and annual deaths reconcile with year-start in-force.</t>
  </si>
  <si>
    <t>A longer  period of 10 years is better when you want stability and credibility from the data. It smooths noise( or the jumps), seasonality, and once off  events; it’s especially useful at long durations where recent cohorts haven’t fully run off. We use this if the productor  pricing,have not changed at such.
A shorter period like 3-5 years is better when you need recency(recent insights) . If there have been meaningful changes  such as pricing, older experience is less predictive. Shorter windows let the assumption react to current behaviour, especially in early durations where lapses are most sensitive to operational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</si>
</sst>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i/>
      <sz val="11"/>
      <color theme="1"/>
      <name val="Aptos Narrow"/>
      <family val="2"/>
      <scheme val="minor"/>
    </font>
    <font>
      <sz val="11"/>
      <color rgb="FF006100"/>
      <name val="Aptos Narrow"/>
      <family val="2"/>
      <scheme val="minor"/>
    </font>
    <font>
      <sz val="11"/>
      <color rgb="FFFF0000"/>
      <name val="Aptos Narrow"/>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rgb="FFFFFF00"/>
        <bgColor indexed="64"/>
      </patternFill>
    </fill>
    <fill>
      <patternFill patternType="solid">
        <fgColor rgb="FFC6EFCE"/>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9" fontId="1" fillId="0" borderId="0" applyFont="0" applyFill="0" applyBorder="0" applyAlignment="0" applyProtection="0"/>
    <xf numFmtId="0" fontId="4" fillId="9" borderId="0" applyNumberFormat="0" applyBorder="0" applyAlignment="0" applyProtection="0"/>
  </cellStyleXfs>
  <cellXfs count="36">
    <xf numFmtId="0" fontId="0" fillId="0" borderId="0" xfId="0"/>
    <xf numFmtId="14" fontId="0" fillId="2" borderId="0" xfId="0" applyNumberFormat="1" applyFill="1"/>
    <xf numFmtId="0" fontId="0" fillId="3" borderId="0" xfId="0" applyFill="1"/>
    <xf numFmtId="0" fontId="0" fillId="4" borderId="0" xfId="0" applyFill="1"/>
    <xf numFmtId="14" fontId="0" fillId="5" borderId="0" xfId="0" applyNumberFormat="1" applyFill="1"/>
    <xf numFmtId="0" fontId="0" fillId="5" borderId="0" xfId="0" applyFill="1"/>
    <xf numFmtId="0" fontId="0" fillId="2" borderId="0" xfId="0" applyFill="1" applyAlignment="1">
      <alignment wrapText="1"/>
    </xf>
    <xf numFmtId="0" fontId="0" fillId="2" borderId="0" xfId="0" applyFill="1"/>
    <xf numFmtId="0" fontId="2" fillId="0" borderId="0" xfId="0" applyFont="1"/>
    <xf numFmtId="10" fontId="0" fillId="0" borderId="0" xfId="0" applyNumberFormat="1"/>
    <xf numFmtId="0" fontId="0" fillId="7" borderId="0" xfId="0" applyFill="1"/>
    <xf numFmtId="0" fontId="0" fillId="7" borderId="5" xfId="0" applyFill="1" applyBorder="1"/>
    <xf numFmtId="0" fontId="0" fillId="7" borderId="7" xfId="0" applyFill="1" applyBorder="1"/>
    <xf numFmtId="0" fontId="0" fillId="6" borderId="1" xfId="0" applyFill="1" applyBorder="1"/>
    <xf numFmtId="10" fontId="0" fillId="6" borderId="2" xfId="1" applyNumberFormat="1" applyFont="1" applyFill="1" applyBorder="1"/>
    <xf numFmtId="10" fontId="0" fillId="6" borderId="3" xfId="1" applyNumberFormat="1" applyFont="1" applyFill="1" applyBorder="1"/>
    <xf numFmtId="0" fontId="0" fillId="6" borderId="6" xfId="0" applyFill="1" applyBorder="1"/>
    <xf numFmtId="10" fontId="0" fillId="0" borderId="7" xfId="0" applyNumberFormat="1" applyBorder="1"/>
    <xf numFmtId="10" fontId="0" fillId="6" borderId="2" xfId="1" applyNumberFormat="1" applyFont="1" applyFill="1" applyBorder="1" applyAlignment="1">
      <alignment wrapText="1"/>
    </xf>
    <xf numFmtId="10" fontId="0" fillId="6" borderId="3" xfId="1" applyNumberFormat="1" applyFont="1" applyFill="1" applyBorder="1" applyAlignment="1">
      <alignment wrapText="1"/>
    </xf>
    <xf numFmtId="10" fontId="0" fillId="6" borderId="2" xfId="0" applyNumberFormat="1" applyFill="1" applyBorder="1"/>
    <xf numFmtId="10" fontId="0" fillId="6" borderId="3" xfId="0" applyNumberFormat="1" applyFill="1" applyBorder="1"/>
    <xf numFmtId="0" fontId="0" fillId="6" borderId="6" xfId="0" applyFill="1" applyBorder="1" applyAlignment="1">
      <alignment wrapText="1"/>
    </xf>
    <xf numFmtId="0" fontId="0" fillId="6" borderId="4" xfId="0" applyFill="1" applyBorder="1" applyAlignment="1">
      <alignment wrapText="1"/>
    </xf>
    <xf numFmtId="14" fontId="0" fillId="2" borderId="0" xfId="0" applyNumberFormat="1" applyFill="1" applyAlignment="1">
      <alignment wrapText="1"/>
    </xf>
    <xf numFmtId="0" fontId="0" fillId="0" borderId="0" xfId="0" applyAlignment="1">
      <alignment wrapText="1"/>
    </xf>
    <xf numFmtId="0" fontId="4" fillId="9" borderId="0" xfId="2"/>
    <xf numFmtId="0" fontId="5" fillId="0" borderId="0" xfId="0" applyFont="1"/>
    <xf numFmtId="0" fontId="0" fillId="8" borderId="8" xfId="0" applyFill="1" applyBorder="1" applyAlignment="1">
      <alignment horizontal="center"/>
    </xf>
    <xf numFmtId="0" fontId="0" fillId="8" borderId="10" xfId="0" applyFill="1" applyBorder="1" applyAlignment="1">
      <alignment horizontal="center"/>
    </xf>
    <xf numFmtId="0" fontId="0" fillId="0" borderId="0" xfId="0" applyAlignment="1">
      <alignment wrapText="1"/>
    </xf>
    <xf numFmtId="0" fontId="0" fillId="0" borderId="0" xfId="0"/>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8" xfId="0" applyBorder="1" applyAlignment="1">
      <alignment horizontal="left" vertical="top" wrapText="1"/>
    </xf>
  </cellXfs>
  <cellStyles count="3">
    <cellStyle name="Good" xfId="2" builtinId="26"/>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Calcs!$A$103</c:f>
              <c:strCache>
                <c:ptCount val="1"/>
                <c:pt idx="0">
                  <c:v>Lapse rates:</c:v>
                </c:pt>
              </c:strCache>
            </c:strRef>
          </c:tx>
          <c:spPr>
            <a:ln w="34925" cap="rnd">
              <a:solidFill>
                <a:schemeClr val="lt1"/>
              </a:solidFill>
              <a:round/>
            </a:ln>
            <a:effectLst>
              <a:outerShdw dist="25400" dir="2700000" algn="tl" rotWithShape="0">
                <a:schemeClr val="accent1"/>
              </a:outerShdw>
            </a:effectLst>
          </c:spPr>
          <c:marker>
            <c:symbol val="none"/>
          </c:marker>
          <c:cat>
            <c:strRef>
              <c:f>Calcs!$B$102:$DQ$102</c:f>
              <c:strCache>
                <c:ptCount val="120"/>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pt idx="24">
                  <c:v>Month 25</c:v>
                </c:pt>
                <c:pt idx="25">
                  <c:v>Month 26</c:v>
                </c:pt>
                <c:pt idx="26">
                  <c:v>Month 27</c:v>
                </c:pt>
                <c:pt idx="27">
                  <c:v>Month 28</c:v>
                </c:pt>
                <c:pt idx="28">
                  <c:v>Month 29</c:v>
                </c:pt>
                <c:pt idx="29">
                  <c:v>Month 30</c:v>
                </c:pt>
                <c:pt idx="30">
                  <c:v>Month 31</c:v>
                </c:pt>
                <c:pt idx="31">
                  <c:v>Month 32</c:v>
                </c:pt>
                <c:pt idx="32">
                  <c:v>Month 33</c:v>
                </c:pt>
                <c:pt idx="33">
                  <c:v>Month 34</c:v>
                </c:pt>
                <c:pt idx="34">
                  <c:v>Month 35</c:v>
                </c:pt>
                <c:pt idx="35">
                  <c:v>Month 36</c:v>
                </c:pt>
                <c:pt idx="36">
                  <c:v>Month 37</c:v>
                </c:pt>
                <c:pt idx="37">
                  <c:v>Month 38</c:v>
                </c:pt>
                <c:pt idx="38">
                  <c:v>Month 39</c:v>
                </c:pt>
                <c:pt idx="39">
                  <c:v>Month 40</c:v>
                </c:pt>
                <c:pt idx="40">
                  <c:v>Month 41</c:v>
                </c:pt>
                <c:pt idx="41">
                  <c:v>Month 42</c:v>
                </c:pt>
                <c:pt idx="42">
                  <c:v>Month 43</c:v>
                </c:pt>
                <c:pt idx="43">
                  <c:v>Month 44</c:v>
                </c:pt>
                <c:pt idx="44">
                  <c:v>Month 45</c:v>
                </c:pt>
                <c:pt idx="45">
                  <c:v>Month 46</c:v>
                </c:pt>
                <c:pt idx="46">
                  <c:v>Month 47</c:v>
                </c:pt>
                <c:pt idx="47">
                  <c:v>Month 48</c:v>
                </c:pt>
                <c:pt idx="48">
                  <c:v>Month 49</c:v>
                </c:pt>
                <c:pt idx="49">
                  <c:v>Month 50</c:v>
                </c:pt>
                <c:pt idx="50">
                  <c:v>Month 51</c:v>
                </c:pt>
                <c:pt idx="51">
                  <c:v>Month 52</c:v>
                </c:pt>
                <c:pt idx="52">
                  <c:v>Month 53</c:v>
                </c:pt>
                <c:pt idx="53">
                  <c:v>Month 54</c:v>
                </c:pt>
                <c:pt idx="54">
                  <c:v>Month 55</c:v>
                </c:pt>
                <c:pt idx="55">
                  <c:v>Month 56</c:v>
                </c:pt>
                <c:pt idx="56">
                  <c:v>Month 57</c:v>
                </c:pt>
                <c:pt idx="57">
                  <c:v>Month 58</c:v>
                </c:pt>
                <c:pt idx="58">
                  <c:v>Month 59</c:v>
                </c:pt>
                <c:pt idx="59">
                  <c:v>Month 60</c:v>
                </c:pt>
                <c:pt idx="60">
                  <c:v>Month 61</c:v>
                </c:pt>
                <c:pt idx="61">
                  <c:v>Month 62</c:v>
                </c:pt>
                <c:pt idx="62">
                  <c:v>Month 63</c:v>
                </c:pt>
                <c:pt idx="63">
                  <c:v>Month 64</c:v>
                </c:pt>
                <c:pt idx="64">
                  <c:v>Month 65</c:v>
                </c:pt>
                <c:pt idx="65">
                  <c:v>Month 66</c:v>
                </c:pt>
                <c:pt idx="66">
                  <c:v>Month 67</c:v>
                </c:pt>
                <c:pt idx="67">
                  <c:v>Month 68</c:v>
                </c:pt>
                <c:pt idx="68">
                  <c:v>Month 69</c:v>
                </c:pt>
                <c:pt idx="69">
                  <c:v>Month 70</c:v>
                </c:pt>
                <c:pt idx="70">
                  <c:v>Month 71</c:v>
                </c:pt>
                <c:pt idx="71">
                  <c:v>Month 72</c:v>
                </c:pt>
                <c:pt idx="72">
                  <c:v>Month 73</c:v>
                </c:pt>
                <c:pt idx="73">
                  <c:v>Month 74</c:v>
                </c:pt>
                <c:pt idx="74">
                  <c:v>Month 75</c:v>
                </c:pt>
                <c:pt idx="75">
                  <c:v>Month 76</c:v>
                </c:pt>
                <c:pt idx="76">
                  <c:v>Month 77</c:v>
                </c:pt>
                <c:pt idx="77">
                  <c:v>Month 78</c:v>
                </c:pt>
                <c:pt idx="78">
                  <c:v>Month 79</c:v>
                </c:pt>
                <c:pt idx="79">
                  <c:v>Month 80</c:v>
                </c:pt>
                <c:pt idx="80">
                  <c:v>Month 81</c:v>
                </c:pt>
                <c:pt idx="81">
                  <c:v>Month 82</c:v>
                </c:pt>
                <c:pt idx="82">
                  <c:v>Month 83</c:v>
                </c:pt>
                <c:pt idx="83">
                  <c:v>Month 84</c:v>
                </c:pt>
                <c:pt idx="84">
                  <c:v>Month 85</c:v>
                </c:pt>
                <c:pt idx="85">
                  <c:v>Month 86</c:v>
                </c:pt>
                <c:pt idx="86">
                  <c:v>Month 87</c:v>
                </c:pt>
                <c:pt idx="87">
                  <c:v>Month 88</c:v>
                </c:pt>
                <c:pt idx="88">
                  <c:v>Month 89</c:v>
                </c:pt>
                <c:pt idx="89">
                  <c:v>Month 90</c:v>
                </c:pt>
                <c:pt idx="90">
                  <c:v>Month 91</c:v>
                </c:pt>
                <c:pt idx="91">
                  <c:v>Month 92</c:v>
                </c:pt>
                <c:pt idx="92">
                  <c:v>Month 93</c:v>
                </c:pt>
                <c:pt idx="93">
                  <c:v>Month 94</c:v>
                </c:pt>
                <c:pt idx="94">
                  <c:v>Month 95</c:v>
                </c:pt>
                <c:pt idx="95">
                  <c:v>Month 96</c:v>
                </c:pt>
                <c:pt idx="96">
                  <c:v>Month 97</c:v>
                </c:pt>
                <c:pt idx="97">
                  <c:v>Month 98</c:v>
                </c:pt>
                <c:pt idx="98">
                  <c:v>Month 99</c:v>
                </c:pt>
                <c:pt idx="99">
                  <c:v>Month 100</c:v>
                </c:pt>
                <c:pt idx="100">
                  <c:v>Month 101</c:v>
                </c:pt>
                <c:pt idx="101">
                  <c:v>Month 102</c:v>
                </c:pt>
                <c:pt idx="102">
                  <c:v>Month 103</c:v>
                </c:pt>
                <c:pt idx="103">
                  <c:v>Month 104</c:v>
                </c:pt>
                <c:pt idx="104">
                  <c:v>Month 105</c:v>
                </c:pt>
                <c:pt idx="105">
                  <c:v>Month 106</c:v>
                </c:pt>
                <c:pt idx="106">
                  <c:v>Month 107</c:v>
                </c:pt>
                <c:pt idx="107">
                  <c:v>Month 108</c:v>
                </c:pt>
                <c:pt idx="108">
                  <c:v>Month 109</c:v>
                </c:pt>
                <c:pt idx="109">
                  <c:v>Month 110</c:v>
                </c:pt>
                <c:pt idx="110">
                  <c:v>Month 111</c:v>
                </c:pt>
                <c:pt idx="111">
                  <c:v>Month 112</c:v>
                </c:pt>
                <c:pt idx="112">
                  <c:v>Month 113</c:v>
                </c:pt>
                <c:pt idx="113">
                  <c:v>Month 114</c:v>
                </c:pt>
                <c:pt idx="114">
                  <c:v>Month 115</c:v>
                </c:pt>
                <c:pt idx="115">
                  <c:v>Month 116</c:v>
                </c:pt>
                <c:pt idx="116">
                  <c:v>Month 117</c:v>
                </c:pt>
                <c:pt idx="117">
                  <c:v>Month 118</c:v>
                </c:pt>
                <c:pt idx="118">
                  <c:v>Month 119</c:v>
                </c:pt>
                <c:pt idx="119">
                  <c:v>Month 120</c:v>
                </c:pt>
              </c:strCache>
            </c:strRef>
          </c:cat>
          <c:val>
            <c:numRef>
              <c:f>Calcs!$B$103:$DQ$103</c:f>
              <c:numCache>
                <c:formatCode>0.00%</c:formatCode>
                <c:ptCount val="120"/>
                <c:pt idx="0">
                  <c:v>0.18058268683373332</c:v>
                </c:pt>
                <c:pt idx="1">
                  <c:v>0.12287096098390007</c:v>
                </c:pt>
                <c:pt idx="2">
                  <c:v>0.12432755750270572</c:v>
                </c:pt>
                <c:pt idx="3">
                  <c:v>8.9941014388939006E-2</c:v>
                </c:pt>
                <c:pt idx="4">
                  <c:v>7.2739160291154945E-2</c:v>
                </c:pt>
                <c:pt idx="5">
                  <c:v>6.9811508037200612E-2</c:v>
                </c:pt>
                <c:pt idx="6">
                  <c:v>6.4181000410703529E-2</c:v>
                </c:pt>
                <c:pt idx="7">
                  <c:v>5.8666256089561594E-2</c:v>
                </c:pt>
                <c:pt idx="8">
                  <c:v>5.7162940865761888E-2</c:v>
                </c:pt>
                <c:pt idx="9">
                  <c:v>5.4759211246351081E-2</c:v>
                </c:pt>
                <c:pt idx="10">
                  <c:v>5.5187671745996758E-2</c:v>
                </c:pt>
                <c:pt idx="11">
                  <c:v>5.3839775655326771E-2</c:v>
                </c:pt>
                <c:pt idx="12">
                  <c:v>4.5159956226205944E-2</c:v>
                </c:pt>
                <c:pt idx="13">
                  <c:v>4.5159956226205944E-2</c:v>
                </c:pt>
                <c:pt idx="14">
                  <c:v>4.5159956226205944E-2</c:v>
                </c:pt>
                <c:pt idx="15">
                  <c:v>4.5159956226205944E-2</c:v>
                </c:pt>
                <c:pt idx="16">
                  <c:v>4.5159956226205944E-2</c:v>
                </c:pt>
                <c:pt idx="17">
                  <c:v>4.5159956226205944E-2</c:v>
                </c:pt>
                <c:pt idx="18">
                  <c:v>4.5159956226205944E-2</c:v>
                </c:pt>
                <c:pt idx="19">
                  <c:v>4.5159956226205944E-2</c:v>
                </c:pt>
                <c:pt idx="20">
                  <c:v>4.5159956226205944E-2</c:v>
                </c:pt>
                <c:pt idx="21">
                  <c:v>4.5159956226205944E-2</c:v>
                </c:pt>
                <c:pt idx="22">
                  <c:v>4.5159956226205944E-2</c:v>
                </c:pt>
                <c:pt idx="23">
                  <c:v>4.5159956226205944E-2</c:v>
                </c:pt>
                <c:pt idx="24">
                  <c:v>2.6291877845010636E-2</c:v>
                </c:pt>
                <c:pt idx="25">
                  <c:v>2.6291877845010636E-2</c:v>
                </c:pt>
                <c:pt idx="26">
                  <c:v>2.6291877845010636E-2</c:v>
                </c:pt>
                <c:pt idx="27">
                  <c:v>2.6291877845010636E-2</c:v>
                </c:pt>
                <c:pt idx="28">
                  <c:v>2.6291877845010636E-2</c:v>
                </c:pt>
                <c:pt idx="29">
                  <c:v>2.6291877845010636E-2</c:v>
                </c:pt>
                <c:pt idx="30">
                  <c:v>2.6291877845010636E-2</c:v>
                </c:pt>
                <c:pt idx="31">
                  <c:v>2.6291877845010636E-2</c:v>
                </c:pt>
                <c:pt idx="32">
                  <c:v>2.6291877845010636E-2</c:v>
                </c:pt>
                <c:pt idx="33">
                  <c:v>2.6291877845010636E-2</c:v>
                </c:pt>
                <c:pt idx="34">
                  <c:v>2.6291877845010636E-2</c:v>
                </c:pt>
                <c:pt idx="35">
                  <c:v>2.6291877845010636E-2</c:v>
                </c:pt>
                <c:pt idx="36">
                  <c:v>1.724222462928704E-2</c:v>
                </c:pt>
                <c:pt idx="37">
                  <c:v>1.724222462928704E-2</c:v>
                </c:pt>
                <c:pt idx="38">
                  <c:v>1.724222462928704E-2</c:v>
                </c:pt>
                <c:pt idx="39">
                  <c:v>1.724222462928704E-2</c:v>
                </c:pt>
                <c:pt idx="40">
                  <c:v>1.724222462928704E-2</c:v>
                </c:pt>
                <c:pt idx="41">
                  <c:v>1.724222462928704E-2</c:v>
                </c:pt>
                <c:pt idx="42">
                  <c:v>1.724222462928704E-2</c:v>
                </c:pt>
                <c:pt idx="43">
                  <c:v>1.724222462928704E-2</c:v>
                </c:pt>
                <c:pt idx="44">
                  <c:v>1.724222462928704E-2</c:v>
                </c:pt>
                <c:pt idx="45">
                  <c:v>1.724222462928704E-2</c:v>
                </c:pt>
                <c:pt idx="46">
                  <c:v>1.724222462928704E-2</c:v>
                </c:pt>
                <c:pt idx="47">
                  <c:v>1.724222462928704E-2</c:v>
                </c:pt>
                <c:pt idx="48">
                  <c:v>1.0737931468539519E-2</c:v>
                </c:pt>
                <c:pt idx="49">
                  <c:v>1.0737931468539519E-2</c:v>
                </c:pt>
                <c:pt idx="50">
                  <c:v>1.0737931468539519E-2</c:v>
                </c:pt>
                <c:pt idx="51">
                  <c:v>1.0737931468539519E-2</c:v>
                </c:pt>
                <c:pt idx="52">
                  <c:v>1.0737931468539519E-2</c:v>
                </c:pt>
                <c:pt idx="53">
                  <c:v>1.0737931468539519E-2</c:v>
                </c:pt>
                <c:pt idx="54">
                  <c:v>1.0737931468539519E-2</c:v>
                </c:pt>
                <c:pt idx="55">
                  <c:v>1.0737931468539519E-2</c:v>
                </c:pt>
                <c:pt idx="56">
                  <c:v>1.0737931468539519E-2</c:v>
                </c:pt>
                <c:pt idx="57">
                  <c:v>1.0737931468539519E-2</c:v>
                </c:pt>
                <c:pt idx="58">
                  <c:v>1.0737931468539519E-2</c:v>
                </c:pt>
                <c:pt idx="59">
                  <c:v>1.0737931468539519E-2</c:v>
                </c:pt>
                <c:pt idx="60">
                  <c:v>6.6883708747422776E-3</c:v>
                </c:pt>
                <c:pt idx="61">
                  <c:v>6.6883708747422776E-3</c:v>
                </c:pt>
                <c:pt idx="62">
                  <c:v>6.6883708747422776E-3</c:v>
                </c:pt>
                <c:pt idx="63">
                  <c:v>6.6883708747422776E-3</c:v>
                </c:pt>
                <c:pt idx="64">
                  <c:v>6.6883708747422776E-3</c:v>
                </c:pt>
                <c:pt idx="65">
                  <c:v>6.6883708747422776E-3</c:v>
                </c:pt>
                <c:pt idx="66">
                  <c:v>6.6883708747422776E-3</c:v>
                </c:pt>
                <c:pt idx="67">
                  <c:v>6.6883708747422776E-3</c:v>
                </c:pt>
                <c:pt idx="68">
                  <c:v>6.6883708747422776E-3</c:v>
                </c:pt>
                <c:pt idx="69">
                  <c:v>6.6883708747422776E-3</c:v>
                </c:pt>
                <c:pt idx="70">
                  <c:v>6.6883708747422776E-3</c:v>
                </c:pt>
                <c:pt idx="71">
                  <c:v>6.6883708747422776E-3</c:v>
                </c:pt>
                <c:pt idx="72">
                  <c:v>4.1868346126411327E-3</c:v>
                </c:pt>
                <c:pt idx="73">
                  <c:v>4.1868346126411327E-3</c:v>
                </c:pt>
                <c:pt idx="74">
                  <c:v>4.1868346126411327E-3</c:v>
                </c:pt>
                <c:pt idx="75">
                  <c:v>4.1868346126411327E-3</c:v>
                </c:pt>
                <c:pt idx="76">
                  <c:v>4.1868346126411327E-3</c:v>
                </c:pt>
                <c:pt idx="77">
                  <c:v>4.1868346126411327E-3</c:v>
                </c:pt>
                <c:pt idx="78">
                  <c:v>4.1868346126411327E-3</c:v>
                </c:pt>
                <c:pt idx="79">
                  <c:v>4.1868346126411327E-3</c:v>
                </c:pt>
                <c:pt idx="80">
                  <c:v>4.1868346126411327E-3</c:v>
                </c:pt>
                <c:pt idx="81">
                  <c:v>4.1868346126411327E-3</c:v>
                </c:pt>
                <c:pt idx="82">
                  <c:v>4.1868346126411327E-3</c:v>
                </c:pt>
                <c:pt idx="83">
                  <c:v>4.1868346126411327E-3</c:v>
                </c:pt>
                <c:pt idx="84">
                  <c:v>2.480299309936318E-3</c:v>
                </c:pt>
                <c:pt idx="85">
                  <c:v>2.480299309936318E-3</c:v>
                </c:pt>
                <c:pt idx="86">
                  <c:v>2.480299309936318E-3</c:v>
                </c:pt>
                <c:pt idx="87">
                  <c:v>2.480299309936318E-3</c:v>
                </c:pt>
                <c:pt idx="88">
                  <c:v>2.480299309936318E-3</c:v>
                </c:pt>
                <c:pt idx="89">
                  <c:v>2.480299309936318E-3</c:v>
                </c:pt>
                <c:pt idx="90">
                  <c:v>2.480299309936318E-3</c:v>
                </c:pt>
                <c:pt idx="91">
                  <c:v>2.480299309936318E-3</c:v>
                </c:pt>
                <c:pt idx="92">
                  <c:v>2.480299309936318E-3</c:v>
                </c:pt>
                <c:pt idx="93">
                  <c:v>2.480299309936318E-3</c:v>
                </c:pt>
                <c:pt idx="94">
                  <c:v>2.480299309936318E-3</c:v>
                </c:pt>
                <c:pt idx="95">
                  <c:v>2.480299309936318E-3</c:v>
                </c:pt>
                <c:pt idx="96">
                  <c:v>1.3542939781864272E-3</c:v>
                </c:pt>
                <c:pt idx="97">
                  <c:v>1.3542939781864272E-3</c:v>
                </c:pt>
                <c:pt idx="98">
                  <c:v>1.3542939781864272E-3</c:v>
                </c:pt>
                <c:pt idx="99">
                  <c:v>1.3542939781864272E-3</c:v>
                </c:pt>
                <c:pt idx="100">
                  <c:v>1.3542939781864272E-3</c:v>
                </c:pt>
                <c:pt idx="101">
                  <c:v>1.3542939781864272E-3</c:v>
                </c:pt>
                <c:pt idx="102">
                  <c:v>1.3542939781864272E-3</c:v>
                </c:pt>
                <c:pt idx="103">
                  <c:v>1.3542939781864272E-3</c:v>
                </c:pt>
                <c:pt idx="104">
                  <c:v>1.3542939781864272E-3</c:v>
                </c:pt>
                <c:pt idx="105">
                  <c:v>1.3542939781864272E-3</c:v>
                </c:pt>
                <c:pt idx="106">
                  <c:v>1.3542939781864272E-3</c:v>
                </c:pt>
                <c:pt idx="107">
                  <c:v>1.3542939781864272E-3</c:v>
                </c:pt>
                <c:pt idx="108">
                  <c:v>2.9667316524284448E-4</c:v>
                </c:pt>
                <c:pt idx="109">
                  <c:v>2.9667316524284448E-4</c:v>
                </c:pt>
                <c:pt idx="110">
                  <c:v>2.9667316524284448E-4</c:v>
                </c:pt>
                <c:pt idx="111">
                  <c:v>2.9667316524284448E-4</c:v>
                </c:pt>
                <c:pt idx="112">
                  <c:v>2.9667316524284448E-4</c:v>
                </c:pt>
                <c:pt idx="113">
                  <c:v>2.9667316524284448E-4</c:v>
                </c:pt>
                <c:pt idx="114">
                  <c:v>2.9667316524284448E-4</c:v>
                </c:pt>
                <c:pt idx="115">
                  <c:v>2.9667316524284448E-4</c:v>
                </c:pt>
                <c:pt idx="116">
                  <c:v>2.9667316524284448E-4</c:v>
                </c:pt>
                <c:pt idx="117">
                  <c:v>2.9667316524284448E-4</c:v>
                </c:pt>
                <c:pt idx="118">
                  <c:v>2.9667316524284448E-4</c:v>
                </c:pt>
                <c:pt idx="119">
                  <c:v>2.9667316524284448E-4</c:v>
                </c:pt>
              </c:numCache>
            </c:numRef>
          </c:val>
          <c:smooth val="0"/>
          <c:extLst>
            <c:ext xmlns:c16="http://schemas.microsoft.com/office/drawing/2014/chart" uri="{C3380CC4-5D6E-409C-BE32-E72D297353CC}">
              <c16:uniqueId val="{00000000-0234-4670-91A8-0D3FFEDA747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903051567"/>
        <c:axId val="903053007"/>
      </c:lineChart>
      <c:catAx>
        <c:axId val="90305156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03053007"/>
        <c:crosses val="autoZero"/>
        <c:auto val="1"/>
        <c:lblAlgn val="ctr"/>
        <c:lblOffset val="100"/>
        <c:noMultiLvlLbl val="0"/>
      </c:catAx>
      <c:valAx>
        <c:axId val="9030530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3051567"/>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96212</xdr:colOff>
      <xdr:row>105</xdr:row>
      <xdr:rowOff>28864</xdr:rowOff>
    </xdr:from>
    <xdr:to>
      <xdr:col>7</xdr:col>
      <xdr:colOff>471440</xdr:colOff>
      <xdr:row>105</xdr:row>
      <xdr:rowOff>2992198</xdr:rowOff>
    </xdr:to>
    <xdr:graphicFrame macro="">
      <xdr:nvGraphicFramePr>
        <xdr:cNvPr id="2" name="Chart 1">
          <a:extLst>
            <a:ext uri="{FF2B5EF4-FFF2-40B4-BE49-F238E27FC236}">
              <a16:creationId xmlns:a16="http://schemas.microsoft.com/office/drawing/2014/main" id="{2B417600-25A9-26FC-267C-98E3E81D6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22</xdr:col>
      <xdr:colOff>77439</xdr:colOff>
      <xdr:row>56</xdr:row>
      <xdr:rowOff>33058</xdr:rowOff>
    </xdr:from>
    <xdr:ext cx="5118719" cy="36962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64CFDA1-4443-4BE3-8982-58D276AD0651}"/>
                </a:ext>
              </a:extLst>
            </xdr:cNvPr>
            <xdr:cNvSpPr txBox="1"/>
          </xdr:nvSpPr>
          <xdr:spPr>
            <a:xfrm>
              <a:off x="17648354" y="16635985"/>
              <a:ext cx="5118719" cy="369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en-ZA" sz="1100" b="0" i="1">
                        <a:latin typeface="Cambria Math" panose="02040503050406030204" pitchFamily="18" charset="0"/>
                      </a:rPr>
                      <m:t>𝐸𝑥𝑝𝑜𝑠𝑢𝑟𝑒</m:t>
                    </m:r>
                    <m:r>
                      <a:rPr lang="en-ZA" sz="1100" b="0" i="1">
                        <a:latin typeface="Cambria Math" panose="02040503050406030204" pitchFamily="18" charset="0"/>
                      </a:rPr>
                      <m:t> </m:t>
                    </m:r>
                    <m:r>
                      <a:rPr lang="en-ZA" sz="1100" b="0" i="1">
                        <a:latin typeface="Cambria Math" panose="02040503050406030204" pitchFamily="18" charset="0"/>
                      </a:rPr>
                      <m:t>𝑝𝑒𝑟</m:t>
                    </m:r>
                    <m:r>
                      <a:rPr lang="en-ZA" sz="1100" b="0" i="1">
                        <a:latin typeface="Cambria Math" panose="02040503050406030204" pitchFamily="18" charset="0"/>
                      </a:rPr>
                      <m:t> </m:t>
                    </m:r>
                    <m:r>
                      <a:rPr lang="en-ZA" sz="1100" b="0" i="1">
                        <a:latin typeface="Cambria Math" panose="02040503050406030204" pitchFamily="18" charset="0"/>
                      </a:rPr>
                      <m:t>𝑚𝑜𝑛𝑡h</m:t>
                    </m:r>
                    <m:r>
                      <a:rPr lang="en-ZA" sz="1100" b="0" i="1">
                        <a:latin typeface="Cambria Math" panose="02040503050406030204" pitchFamily="18" charset="0"/>
                      </a:rPr>
                      <m:t>=</m:t>
                    </m:r>
                    <m:r>
                      <a:rPr lang="en-ZA" sz="1100" b="0" i="1">
                        <a:latin typeface="Cambria Math" panose="02040503050406030204" pitchFamily="18" charset="0"/>
                      </a:rPr>
                      <m:t>𝐼</m:t>
                    </m:r>
                    <m:sSub>
                      <m:sSubPr>
                        <m:ctrlPr>
                          <a:rPr lang="en-ZA" sz="1100" b="0" i="1">
                            <a:latin typeface="Cambria Math" panose="02040503050406030204" pitchFamily="18" charset="0"/>
                          </a:rPr>
                        </m:ctrlPr>
                      </m:sSubPr>
                      <m:e>
                        <m:r>
                          <a:rPr lang="en-ZA" sz="1100" b="0" i="1">
                            <a:latin typeface="Cambria Math" panose="02040503050406030204" pitchFamily="18" charset="0"/>
                          </a:rPr>
                          <m:t>𝐹</m:t>
                        </m:r>
                      </m:e>
                      <m:sub>
                        <m:r>
                          <a:rPr lang="en-ZA" sz="1100" b="0" i="1">
                            <a:latin typeface="Cambria Math" panose="02040503050406030204" pitchFamily="18" charset="0"/>
                          </a:rPr>
                          <m:t>𝑠𝑡𝑎𝑟</m:t>
                        </m:r>
                        <m:sSub>
                          <m:sSubPr>
                            <m:ctrlPr>
                              <a:rPr lang="en-ZA" sz="1100" b="0" i="1">
                                <a:latin typeface="Cambria Math" panose="02040503050406030204" pitchFamily="18" charset="0"/>
                              </a:rPr>
                            </m:ctrlPr>
                          </m:sSubPr>
                          <m:e>
                            <m:r>
                              <a:rPr lang="en-ZA" sz="1100" b="0" i="1">
                                <a:latin typeface="Cambria Math" panose="02040503050406030204" pitchFamily="18" charset="0"/>
                              </a:rPr>
                              <m:t>𝑡</m:t>
                            </m:r>
                          </m:e>
                          <m:sub>
                            <m:r>
                              <a:rPr lang="en-ZA" sz="1100" b="0" i="1">
                                <a:latin typeface="Cambria Math" panose="02040503050406030204" pitchFamily="18" charset="0"/>
                              </a:rPr>
                              <m:t>,</m:t>
                            </m:r>
                          </m:sub>
                        </m:sSub>
                        <m:r>
                          <a:rPr lang="en-ZA" sz="1100" b="0" i="1">
                            <a:latin typeface="Cambria Math" panose="02040503050406030204" pitchFamily="18" charset="0"/>
                          </a:rPr>
                          <m:t>𝑚</m:t>
                        </m:r>
                        <m:r>
                          <a:rPr lang="en-ZA" sz="1100" b="0" i="1">
                            <a:latin typeface="Cambria Math" panose="02040503050406030204" pitchFamily="18" charset="0"/>
                          </a:rPr>
                          <m:t> </m:t>
                        </m:r>
                      </m:sub>
                    </m:sSub>
                    <m:r>
                      <a:rPr lang="en-ZA" sz="1100" b="0" i="1">
                        <a:latin typeface="Cambria Math" panose="02040503050406030204" pitchFamily="18" charset="0"/>
                      </a:rPr>
                      <m:t> −0,5</m:t>
                    </m:r>
                    <m:r>
                      <a:rPr lang="en-ZA" sz="1100" b="0" i="1">
                        <a:latin typeface="Cambria Math" panose="02040503050406030204" pitchFamily="18" charset="0"/>
                      </a:rPr>
                      <m:t>𝑑𝑒𝑎𝑡h</m:t>
                    </m:r>
                    <m:sSub>
                      <m:sSubPr>
                        <m:ctrlPr>
                          <a:rPr lang="en-ZA" sz="1100" b="0" i="1">
                            <a:latin typeface="Cambria Math" panose="02040503050406030204" pitchFamily="18" charset="0"/>
                          </a:rPr>
                        </m:ctrlPr>
                      </m:sSubPr>
                      <m:e>
                        <m:r>
                          <a:rPr lang="en-ZA" sz="1100" b="0" i="1">
                            <a:latin typeface="Cambria Math" panose="02040503050406030204" pitchFamily="18" charset="0"/>
                          </a:rPr>
                          <m:t>𝑠</m:t>
                        </m:r>
                      </m:e>
                      <m:sub>
                        <m:r>
                          <a:rPr lang="en-ZA" sz="1100" b="0" i="1">
                            <a:latin typeface="Cambria Math" panose="02040503050406030204" pitchFamily="18" charset="0"/>
                          </a:rPr>
                          <m:t>𝑚</m:t>
                        </m:r>
                      </m:sub>
                    </m:sSub>
                    <m:r>
                      <a:rPr lang="en-ZA" sz="1100" b="0" i="1">
                        <a:latin typeface="Cambria Math" panose="02040503050406030204" pitchFamily="18" charset="0"/>
                      </a:rPr>
                      <m:t>−0,5</m:t>
                    </m:r>
                    <m:r>
                      <a:rPr lang="en-ZA" sz="1100" b="0" i="1">
                        <a:latin typeface="Cambria Math" panose="02040503050406030204" pitchFamily="18" charset="0"/>
                      </a:rPr>
                      <m:t>𝑙𝑎𝑝𝑠𝑒</m:t>
                    </m:r>
                    <m:sSub>
                      <m:sSubPr>
                        <m:ctrlPr>
                          <a:rPr lang="en-ZA" sz="1100" b="0" i="1">
                            <a:latin typeface="Cambria Math" panose="02040503050406030204" pitchFamily="18" charset="0"/>
                          </a:rPr>
                        </m:ctrlPr>
                      </m:sSubPr>
                      <m:e>
                        <m:r>
                          <a:rPr lang="en-ZA" sz="1100" b="0" i="1">
                            <a:latin typeface="Cambria Math" panose="02040503050406030204" pitchFamily="18" charset="0"/>
                          </a:rPr>
                          <m:t>𝑠</m:t>
                        </m:r>
                      </m:e>
                      <m:sub>
                        <m:r>
                          <a:rPr lang="en-ZA" sz="1100" b="0" i="1">
                            <a:latin typeface="Cambria Math" panose="02040503050406030204" pitchFamily="18" charset="0"/>
                          </a:rPr>
                          <m:t>𝑚</m:t>
                        </m:r>
                      </m:sub>
                    </m:sSub>
                  </m:oMath>
                </m:oMathPara>
              </a14:m>
              <a:endParaRPr lang="en-ZA" sz="1100" b="0"/>
            </a:p>
            <a:p>
              <a:endParaRPr lang="en-ZA" sz="1100"/>
            </a:p>
            <a:p>
              <a:endParaRPr lang="en-ZA" sz="1100"/>
            </a:p>
          </xdr:txBody>
        </xdr:sp>
      </mc:Choice>
      <mc:Fallback xmlns="">
        <xdr:sp macro="" textlink="">
          <xdr:nvSpPr>
            <xdr:cNvPr id="3" name="TextBox 2">
              <a:extLst>
                <a:ext uri="{FF2B5EF4-FFF2-40B4-BE49-F238E27FC236}">
                  <a16:creationId xmlns:a16="http://schemas.microsoft.com/office/drawing/2014/main" id="{E64CFDA1-4443-4BE3-8982-58D276AD0651}"/>
                </a:ext>
              </a:extLst>
            </xdr:cNvPr>
            <xdr:cNvSpPr txBox="1"/>
          </xdr:nvSpPr>
          <xdr:spPr>
            <a:xfrm>
              <a:off x="17648354" y="16635985"/>
              <a:ext cx="5118719" cy="369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ZA" sz="1100" b="0" i="0">
                  <a:latin typeface="Cambria Math" panose="02040503050406030204" pitchFamily="18" charset="0"/>
                </a:rPr>
                <a:t>𝐸𝑥𝑝𝑜𝑠𝑢𝑟𝑒 𝑝𝑒𝑟 𝑚𝑜𝑛𝑡ℎ=𝐼𝐹_(𝑠𝑡𝑎𝑟𝑡_, 𝑚 )  −0,5𝑑𝑒𝑎𝑡ℎ𝑠_𝑚−0,5𝑙𝑎𝑝𝑠𝑒𝑠_𝑚</a:t>
              </a:r>
              <a:endParaRPr lang="en-ZA" sz="1100" b="0"/>
            </a:p>
            <a:p>
              <a:endParaRPr lang="en-ZA" sz="1100"/>
            </a:p>
            <a:p>
              <a:endParaRPr lang="en-ZA" sz="1100"/>
            </a:p>
          </xdr:txBody>
        </xdr:sp>
      </mc:Fallback>
    </mc:AlternateContent>
    <xdr:clientData/>
  </xdr:oneCellAnchor>
  <xdr:oneCellAnchor>
    <xdr:from>
      <xdr:col>23</xdr:col>
      <xdr:colOff>111976</xdr:colOff>
      <xdr:row>57</xdr:row>
      <xdr:rowOff>181671</xdr:rowOff>
    </xdr:from>
    <xdr:ext cx="3496682" cy="34599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47DB21B-D028-FA25-C549-CC2BAF252AAC}"/>
                </a:ext>
              </a:extLst>
            </xdr:cNvPr>
            <xdr:cNvSpPr txBox="1"/>
          </xdr:nvSpPr>
          <xdr:spPr>
            <a:xfrm>
              <a:off x="18310147" y="16970451"/>
              <a:ext cx="3496682" cy="3459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ZA" sz="1100" b="0" i="1">
                        <a:latin typeface="Cambria Math" panose="02040503050406030204" pitchFamily="18" charset="0"/>
                      </a:rPr>
                      <m:t>𝐶𝑟𝑢𝑑𝑒</m:t>
                    </m:r>
                    <m:r>
                      <a:rPr lang="en-ZA" sz="1100" b="0" i="1">
                        <a:latin typeface="Cambria Math" panose="02040503050406030204" pitchFamily="18" charset="0"/>
                      </a:rPr>
                      <m:t> </m:t>
                    </m:r>
                    <m:r>
                      <a:rPr lang="en-ZA" sz="1100" b="0" i="1">
                        <a:latin typeface="Cambria Math" panose="02040503050406030204" pitchFamily="18" charset="0"/>
                      </a:rPr>
                      <m:t>𝑚𝑜𝑛𝑡h𝑙𝑦</m:t>
                    </m:r>
                    <m:r>
                      <a:rPr lang="en-ZA" sz="1100" b="0" i="1">
                        <a:latin typeface="Cambria Math" panose="02040503050406030204" pitchFamily="18" charset="0"/>
                      </a:rPr>
                      <m:t> </m:t>
                    </m:r>
                    <m:r>
                      <a:rPr lang="en-ZA" sz="1100" b="0" i="1">
                        <a:latin typeface="Cambria Math" panose="02040503050406030204" pitchFamily="18" charset="0"/>
                      </a:rPr>
                      <m:t>𝑙𝑎𝑝𝑠𝑒</m:t>
                    </m:r>
                    <m:r>
                      <a:rPr lang="en-ZA" sz="1100" b="0" i="1">
                        <a:latin typeface="Cambria Math" panose="02040503050406030204" pitchFamily="18" charset="0"/>
                      </a:rPr>
                      <m:t> </m:t>
                    </m:r>
                    <m:r>
                      <a:rPr lang="en-ZA" sz="1100" b="0" i="1">
                        <a:latin typeface="Cambria Math" panose="02040503050406030204" pitchFamily="18" charset="0"/>
                      </a:rPr>
                      <m:t>𝑟𝑎𝑡𝑒</m:t>
                    </m:r>
                    <m:r>
                      <a:rPr lang="en-ZA" sz="1100" b="0" i="1">
                        <a:latin typeface="Cambria Math" panose="02040503050406030204" pitchFamily="18" charset="0"/>
                      </a:rPr>
                      <m:t>=</m:t>
                    </m:r>
                    <m:r>
                      <a:rPr lang="en-ZA" sz="1100" b="0" i="1">
                        <a:latin typeface="Cambria Math" panose="02040503050406030204" pitchFamily="18" charset="0"/>
                      </a:rPr>
                      <m:t>𝑙𝑎𝑝𝑠𝑒</m:t>
                    </m:r>
                    <m:sSub>
                      <m:sSubPr>
                        <m:ctrlPr>
                          <a:rPr lang="en-ZA" sz="1100" b="0" i="1">
                            <a:latin typeface="Cambria Math" panose="02040503050406030204" pitchFamily="18" charset="0"/>
                          </a:rPr>
                        </m:ctrlPr>
                      </m:sSubPr>
                      <m:e>
                        <m:r>
                          <a:rPr lang="en-ZA" sz="1100" b="0" i="1">
                            <a:latin typeface="Cambria Math" panose="02040503050406030204" pitchFamily="18" charset="0"/>
                          </a:rPr>
                          <m:t>𝑠</m:t>
                        </m:r>
                      </m:e>
                      <m:sub>
                        <m:r>
                          <a:rPr lang="en-ZA" sz="1100" b="0" i="1">
                            <a:latin typeface="Cambria Math" panose="02040503050406030204" pitchFamily="18" charset="0"/>
                          </a:rPr>
                          <m:t>𝑚</m:t>
                        </m:r>
                      </m:sub>
                    </m:sSub>
                    <m:r>
                      <a:rPr lang="en-ZA" sz="1100" b="0" i="1">
                        <a:latin typeface="Cambria Math" panose="02040503050406030204" pitchFamily="18" charset="0"/>
                      </a:rPr>
                      <m:t>÷</m:t>
                    </m:r>
                    <m:sSub>
                      <m:sSubPr>
                        <m:ctrlPr>
                          <a:rPr lang="en-ZA" sz="1100" b="0" i="1">
                            <a:latin typeface="Cambria Math" panose="02040503050406030204" pitchFamily="18" charset="0"/>
                          </a:rPr>
                        </m:ctrlPr>
                      </m:sSubPr>
                      <m:e>
                        <m:r>
                          <m:rPr>
                            <m:sty m:val="p"/>
                          </m:rPr>
                          <a:rPr lang="en-ZA" sz="1100" b="0" i="0">
                            <a:latin typeface="Cambria Math" panose="02040503050406030204" pitchFamily="18" charset="0"/>
                          </a:rPr>
                          <m:t>Exposure</m:t>
                        </m:r>
                      </m:e>
                      <m:sub>
                        <m:r>
                          <m:rPr>
                            <m:sty m:val="p"/>
                          </m:rPr>
                          <a:rPr lang="en-ZA" sz="1100" b="0" i="0">
                            <a:latin typeface="Cambria Math" panose="02040503050406030204" pitchFamily="18" charset="0"/>
                          </a:rPr>
                          <m:t>m</m:t>
                        </m:r>
                      </m:sub>
                    </m:sSub>
                  </m:oMath>
                </m:oMathPara>
              </a14:m>
              <a:endParaRPr lang="en-ZA" sz="1100" b="0"/>
            </a:p>
            <a:p>
              <a:endParaRPr lang="en-ZA" sz="1100"/>
            </a:p>
          </xdr:txBody>
        </xdr:sp>
      </mc:Choice>
      <mc:Fallback xmlns="">
        <xdr:sp macro="" textlink="">
          <xdr:nvSpPr>
            <xdr:cNvPr id="4" name="TextBox 3">
              <a:extLst>
                <a:ext uri="{FF2B5EF4-FFF2-40B4-BE49-F238E27FC236}">
                  <a16:creationId xmlns:a16="http://schemas.microsoft.com/office/drawing/2014/main" id="{747DB21B-D028-FA25-C549-CC2BAF252AAC}"/>
                </a:ext>
              </a:extLst>
            </xdr:cNvPr>
            <xdr:cNvSpPr txBox="1"/>
          </xdr:nvSpPr>
          <xdr:spPr>
            <a:xfrm>
              <a:off x="18310147" y="16970451"/>
              <a:ext cx="3496682" cy="3459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ZA" sz="1100" b="0" i="0">
                  <a:latin typeface="Cambria Math" panose="02040503050406030204" pitchFamily="18" charset="0"/>
                </a:rPr>
                <a:t>𝐶𝑟𝑢𝑑𝑒 𝑚𝑜𝑛𝑡ℎ𝑙𝑦 𝑙𝑎𝑝𝑠𝑒 𝑟𝑎𝑡𝑒=𝑙𝑎𝑝𝑠𝑒𝑠_𝑚÷Exposure_m</a:t>
              </a:r>
              <a:endParaRPr lang="en-ZA" sz="1100" b="0"/>
            </a:p>
            <a:p>
              <a:endParaRPr lang="en-ZA" sz="1100"/>
            </a:p>
          </xdr:txBody>
        </xdr:sp>
      </mc:Fallback>
    </mc:AlternateContent>
    <xdr:clientData/>
  </xdr:oneCellAnchor>
  <xdr:twoCellAnchor editAs="oneCell">
    <xdr:from>
      <xdr:col>0</xdr:col>
      <xdr:colOff>286373</xdr:colOff>
      <xdr:row>2</xdr:row>
      <xdr:rowOff>373529</xdr:rowOff>
    </xdr:from>
    <xdr:to>
      <xdr:col>11</xdr:col>
      <xdr:colOff>169104</xdr:colOff>
      <xdr:row>2</xdr:row>
      <xdr:rowOff>2526479</xdr:rowOff>
    </xdr:to>
    <xdr:pic>
      <xdr:nvPicPr>
        <xdr:cNvPr id="5" name="Picture 4">
          <a:extLst>
            <a:ext uri="{FF2B5EF4-FFF2-40B4-BE49-F238E27FC236}">
              <a16:creationId xmlns:a16="http://schemas.microsoft.com/office/drawing/2014/main" id="{B673D86B-5E75-FBA1-FDAC-32092E73B22C}"/>
            </a:ext>
          </a:extLst>
        </xdr:cNvPr>
        <xdr:cNvPicPr>
          <a:picLocks noChangeAspect="1"/>
        </xdr:cNvPicPr>
      </xdr:nvPicPr>
      <xdr:blipFill>
        <a:blip xmlns:r="http://schemas.openxmlformats.org/officeDocument/2006/relationships" r:embed="rId2"/>
        <a:stretch>
          <a:fillRect/>
        </a:stretch>
      </xdr:blipFill>
      <xdr:spPr>
        <a:xfrm>
          <a:off x="286373" y="747058"/>
          <a:ext cx="6830378" cy="2152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05512-6FA4-4212-BAB3-9DEA828567E9}">
  <sheetPr>
    <tabColor theme="4" tint="-0.499984740745262"/>
  </sheetPr>
  <dimension ref="A1:DS121"/>
  <sheetViews>
    <sheetView showGridLines="0" topLeftCell="J1" zoomScale="54" workbookViewId="0">
      <selection activeCell="Z2" sqref="Z2"/>
    </sheetView>
  </sheetViews>
  <sheetFormatPr defaultRowHeight="14.5" x14ac:dyDescent="0.35"/>
  <cols>
    <col min="1" max="1" width="29.90625" customWidth="1"/>
    <col min="2" max="2" width="15.1796875" bestFit="1" customWidth="1"/>
    <col min="3" max="10" width="15.26953125" bestFit="1" customWidth="1"/>
    <col min="11" max="100" width="16.26953125" bestFit="1" customWidth="1"/>
    <col min="101" max="121" width="17.36328125" bestFit="1" customWidth="1"/>
  </cols>
  <sheetData>
    <row r="1" spans="1:123" ht="30" customHeight="1" x14ac:dyDescent="0.35">
      <c r="A1" s="6" t="s">
        <v>0</v>
      </c>
      <c r="B1" s="7" t="s">
        <v>202</v>
      </c>
      <c r="C1" s="7" t="s">
        <v>203</v>
      </c>
      <c r="D1" s="7" t="s">
        <v>204</v>
      </c>
      <c r="E1" s="7" t="s">
        <v>205</v>
      </c>
      <c r="F1" s="7" t="s">
        <v>206</v>
      </c>
      <c r="G1" s="7" t="s">
        <v>207</v>
      </c>
      <c r="H1" s="7" t="s">
        <v>208</v>
      </c>
      <c r="I1" s="7" t="s">
        <v>209</v>
      </c>
      <c r="J1" s="7" t="s">
        <v>210</v>
      </c>
      <c r="K1" s="7" t="s">
        <v>211</v>
      </c>
      <c r="L1" s="7" t="s">
        <v>212</v>
      </c>
      <c r="M1" s="7" t="s">
        <v>213</v>
      </c>
      <c r="N1" s="7" t="s">
        <v>214</v>
      </c>
      <c r="O1" s="7" t="s">
        <v>215</v>
      </c>
      <c r="P1" s="7" t="s">
        <v>216</v>
      </c>
      <c r="Q1" s="7" t="s">
        <v>217</v>
      </c>
      <c r="R1" s="7" t="s">
        <v>218</v>
      </c>
      <c r="S1" s="7" t="s">
        <v>219</v>
      </c>
      <c r="T1" s="7" t="s">
        <v>220</v>
      </c>
      <c r="U1" s="7" t="s">
        <v>221</v>
      </c>
      <c r="V1" s="7" t="s">
        <v>222</v>
      </c>
      <c r="W1" s="7" t="s">
        <v>223</v>
      </c>
      <c r="X1" s="7" t="s">
        <v>224</v>
      </c>
      <c r="Y1" s="7" t="s">
        <v>225</v>
      </c>
      <c r="Z1" s="7" t="s">
        <v>226</v>
      </c>
      <c r="AA1" s="7" t="s">
        <v>227</v>
      </c>
      <c r="AB1" s="7" t="s">
        <v>228</v>
      </c>
      <c r="AC1" s="7" t="s">
        <v>229</v>
      </c>
      <c r="AD1" s="7" t="s">
        <v>230</v>
      </c>
      <c r="AE1" s="7" t="s">
        <v>231</v>
      </c>
      <c r="AF1" s="7" t="s">
        <v>232</v>
      </c>
      <c r="AG1" s="7" t="s">
        <v>233</v>
      </c>
      <c r="AH1" s="7" t="s">
        <v>234</v>
      </c>
      <c r="AI1" s="7" t="s">
        <v>235</v>
      </c>
      <c r="AJ1" s="7" t="s">
        <v>236</v>
      </c>
      <c r="AK1" s="7" t="s">
        <v>237</v>
      </c>
      <c r="AL1" s="7" t="s">
        <v>238</v>
      </c>
      <c r="AM1" s="7" t="s">
        <v>239</v>
      </c>
      <c r="AN1" s="7" t="s">
        <v>240</v>
      </c>
      <c r="AO1" s="7" t="s">
        <v>241</v>
      </c>
      <c r="AP1" s="7" t="s">
        <v>242</v>
      </c>
      <c r="AQ1" s="7" t="s">
        <v>243</v>
      </c>
      <c r="AR1" s="7" t="s">
        <v>244</v>
      </c>
      <c r="AS1" s="7" t="s">
        <v>245</v>
      </c>
      <c r="AT1" s="7" t="s">
        <v>246</v>
      </c>
      <c r="AU1" s="7" t="s">
        <v>247</v>
      </c>
      <c r="AV1" s="7" t="s">
        <v>248</v>
      </c>
      <c r="AW1" s="7" t="s">
        <v>249</v>
      </c>
      <c r="AX1" s="7" t="s">
        <v>250</v>
      </c>
      <c r="AY1" s="7" t="s">
        <v>251</v>
      </c>
      <c r="AZ1" s="7" t="s">
        <v>252</v>
      </c>
      <c r="BA1" s="7" t="s">
        <v>253</v>
      </c>
      <c r="BB1" s="7" t="s">
        <v>254</v>
      </c>
      <c r="BC1" s="7" t="s">
        <v>255</v>
      </c>
      <c r="BD1" s="7" t="s">
        <v>256</v>
      </c>
      <c r="BE1" s="7" t="s">
        <v>257</v>
      </c>
      <c r="BF1" s="7" t="s">
        <v>258</v>
      </c>
      <c r="BG1" s="7" t="s">
        <v>259</v>
      </c>
      <c r="BH1" s="7" t="s">
        <v>260</v>
      </c>
      <c r="BI1" s="7" t="s">
        <v>261</v>
      </c>
      <c r="BJ1" s="7" t="s">
        <v>262</v>
      </c>
      <c r="BK1" s="7" t="s">
        <v>263</v>
      </c>
      <c r="BL1" s="7" t="s">
        <v>264</v>
      </c>
      <c r="BM1" s="7" t="s">
        <v>265</v>
      </c>
      <c r="BN1" s="7" t="s">
        <v>266</v>
      </c>
      <c r="BO1" s="7" t="s">
        <v>267</v>
      </c>
      <c r="BP1" s="7" t="s">
        <v>268</v>
      </c>
      <c r="BQ1" s="7" t="s">
        <v>269</v>
      </c>
      <c r="BR1" s="7" t="s">
        <v>270</v>
      </c>
      <c r="BS1" s="7" t="s">
        <v>271</v>
      </c>
      <c r="BT1" s="7" t="s">
        <v>272</v>
      </c>
      <c r="BU1" s="7" t="s">
        <v>273</v>
      </c>
      <c r="BV1" s="7" t="s">
        <v>274</v>
      </c>
      <c r="BW1" s="7" t="s">
        <v>275</v>
      </c>
      <c r="BX1" s="7" t="s">
        <v>276</v>
      </c>
      <c r="BY1" s="7" t="s">
        <v>277</v>
      </c>
      <c r="BZ1" s="7" t="s">
        <v>278</v>
      </c>
      <c r="CA1" s="7" t="s">
        <v>279</v>
      </c>
      <c r="CB1" s="7" t="s">
        <v>280</v>
      </c>
      <c r="CC1" s="7" t="s">
        <v>281</v>
      </c>
      <c r="CD1" s="7" t="s">
        <v>282</v>
      </c>
      <c r="CE1" s="7" t="s">
        <v>283</v>
      </c>
      <c r="CF1" s="7" t="s">
        <v>284</v>
      </c>
      <c r="CG1" s="7" t="s">
        <v>285</v>
      </c>
      <c r="CH1" s="7" t="s">
        <v>286</v>
      </c>
      <c r="CI1" s="7" t="s">
        <v>287</v>
      </c>
      <c r="CJ1" s="7" t="s">
        <v>288</v>
      </c>
      <c r="CK1" s="7" t="s">
        <v>289</v>
      </c>
      <c r="CL1" s="7" t="s">
        <v>290</v>
      </c>
      <c r="CM1" s="7" t="s">
        <v>291</v>
      </c>
      <c r="CN1" s="7" t="s">
        <v>292</v>
      </c>
      <c r="CO1" s="7" t="s">
        <v>293</v>
      </c>
      <c r="CP1" s="7" t="s">
        <v>294</v>
      </c>
      <c r="CQ1" s="7" t="s">
        <v>295</v>
      </c>
      <c r="CR1" s="7" t="s">
        <v>296</v>
      </c>
      <c r="CS1" s="7" t="s">
        <v>297</v>
      </c>
      <c r="CT1" s="7" t="s">
        <v>298</v>
      </c>
      <c r="CU1" s="7" t="s">
        <v>299</v>
      </c>
      <c r="CV1" s="7" t="s">
        <v>300</v>
      </c>
      <c r="CW1" s="7" t="s">
        <v>301</v>
      </c>
      <c r="CX1" s="7" t="s">
        <v>302</v>
      </c>
      <c r="CY1" s="7" t="s">
        <v>303</v>
      </c>
      <c r="CZ1" s="7" t="s">
        <v>304</v>
      </c>
      <c r="DA1" s="7" t="s">
        <v>305</v>
      </c>
      <c r="DB1" s="7" t="s">
        <v>306</v>
      </c>
      <c r="DC1" s="7" t="s">
        <v>307</v>
      </c>
      <c r="DD1" s="7" t="s">
        <v>308</v>
      </c>
      <c r="DE1" s="7" t="s">
        <v>309</v>
      </c>
      <c r="DF1" s="7" t="s">
        <v>310</v>
      </c>
      <c r="DG1" s="7" t="s">
        <v>311</v>
      </c>
      <c r="DH1" s="7" t="s">
        <v>312</v>
      </c>
      <c r="DI1" s="7" t="s">
        <v>313</v>
      </c>
      <c r="DJ1" s="7" t="s">
        <v>314</v>
      </c>
      <c r="DK1" s="7" t="s">
        <v>315</v>
      </c>
      <c r="DL1" s="7" t="s">
        <v>316</v>
      </c>
      <c r="DM1" s="7" t="s">
        <v>317</v>
      </c>
      <c r="DN1" s="7" t="s">
        <v>318</v>
      </c>
      <c r="DO1" s="7" t="s">
        <v>319</v>
      </c>
      <c r="DP1" s="7" t="s">
        <v>320</v>
      </c>
      <c r="DQ1" s="7" t="s">
        <v>321</v>
      </c>
      <c r="DR1" s="7" t="s">
        <v>328</v>
      </c>
      <c r="DS1" s="7" t="s">
        <v>329</v>
      </c>
    </row>
    <row r="2" spans="1:123" x14ac:dyDescent="0.35">
      <c r="A2" s="4">
        <v>42005</v>
      </c>
      <c r="B2" s="5">
        <v>59</v>
      </c>
      <c r="C2" s="5">
        <v>98</v>
      </c>
      <c r="D2" s="5">
        <v>56</v>
      </c>
      <c r="E2" s="5">
        <v>79</v>
      </c>
      <c r="F2" s="5">
        <v>58</v>
      </c>
      <c r="G2" s="5">
        <v>34</v>
      </c>
      <c r="H2" s="5">
        <v>42</v>
      </c>
      <c r="I2" s="5">
        <v>32</v>
      </c>
      <c r="J2" s="5">
        <v>30</v>
      </c>
      <c r="K2" s="5">
        <v>30</v>
      </c>
      <c r="L2" s="5">
        <v>23</v>
      </c>
      <c r="M2" s="5">
        <v>16</v>
      </c>
      <c r="N2" s="5">
        <v>17</v>
      </c>
      <c r="O2" s="5">
        <v>15</v>
      </c>
      <c r="P2" s="5">
        <v>13</v>
      </c>
      <c r="Q2" s="5">
        <v>8</v>
      </c>
      <c r="R2" s="5">
        <v>17</v>
      </c>
      <c r="S2" s="5">
        <v>9</v>
      </c>
      <c r="T2" s="5">
        <v>16</v>
      </c>
      <c r="U2" s="5">
        <v>10</v>
      </c>
      <c r="V2" s="5">
        <v>15</v>
      </c>
      <c r="W2" s="5">
        <v>11</v>
      </c>
      <c r="X2" s="5">
        <v>11</v>
      </c>
      <c r="Y2" s="5">
        <v>11</v>
      </c>
      <c r="Z2" s="5">
        <v>8</v>
      </c>
      <c r="AA2" s="5">
        <v>6</v>
      </c>
      <c r="AB2" s="5">
        <v>8</v>
      </c>
      <c r="AC2" s="5">
        <v>11</v>
      </c>
      <c r="AD2" s="5">
        <v>8</v>
      </c>
      <c r="AE2" s="5">
        <v>4</v>
      </c>
      <c r="AF2" s="5">
        <v>4</v>
      </c>
      <c r="AG2" s="5">
        <v>7</v>
      </c>
      <c r="AH2" s="5">
        <v>6</v>
      </c>
      <c r="AI2" s="5">
        <v>4</v>
      </c>
      <c r="AJ2" s="5">
        <v>4</v>
      </c>
      <c r="AK2" s="5">
        <v>5</v>
      </c>
      <c r="AL2" s="5">
        <v>8</v>
      </c>
      <c r="AM2" s="5">
        <v>9</v>
      </c>
      <c r="AN2" s="5">
        <v>6</v>
      </c>
      <c r="AO2" s="5">
        <v>10</v>
      </c>
      <c r="AP2" s="5">
        <v>2</v>
      </c>
      <c r="AQ2" s="5">
        <v>10</v>
      </c>
      <c r="AR2" s="5">
        <v>4</v>
      </c>
      <c r="AS2" s="5">
        <v>5</v>
      </c>
      <c r="AT2" s="5">
        <v>6</v>
      </c>
      <c r="AU2" s="5">
        <v>6</v>
      </c>
      <c r="AV2" s="5">
        <v>6</v>
      </c>
      <c r="AW2" s="5">
        <v>2</v>
      </c>
      <c r="AX2" s="5">
        <v>4</v>
      </c>
      <c r="AY2" s="5">
        <v>7</v>
      </c>
      <c r="AZ2" s="5">
        <v>4</v>
      </c>
      <c r="BA2" s="5">
        <v>4</v>
      </c>
      <c r="BB2" s="5">
        <v>1</v>
      </c>
      <c r="BC2" s="5">
        <v>7</v>
      </c>
      <c r="BD2" s="5">
        <v>3</v>
      </c>
      <c r="BE2" s="5">
        <v>1</v>
      </c>
      <c r="BF2" s="5">
        <v>2</v>
      </c>
      <c r="BG2" s="5">
        <v>5</v>
      </c>
      <c r="BH2" s="5">
        <v>2</v>
      </c>
      <c r="BI2" s="5">
        <v>4</v>
      </c>
      <c r="BJ2" s="5">
        <v>2</v>
      </c>
      <c r="BK2" s="5">
        <v>4</v>
      </c>
      <c r="BL2" s="5">
        <v>3</v>
      </c>
      <c r="BM2" s="5">
        <v>1</v>
      </c>
      <c r="BN2" s="5">
        <v>2</v>
      </c>
      <c r="BO2" s="5">
        <v>2</v>
      </c>
      <c r="BP2" s="5">
        <v>4</v>
      </c>
      <c r="BQ2" s="5">
        <v>0</v>
      </c>
      <c r="BR2" s="5">
        <v>1</v>
      </c>
      <c r="BS2" s="5">
        <v>4</v>
      </c>
      <c r="BT2" s="5">
        <v>3</v>
      </c>
      <c r="BU2" s="5">
        <v>2</v>
      </c>
      <c r="BV2" s="5">
        <v>0</v>
      </c>
      <c r="BW2" s="5">
        <v>3</v>
      </c>
      <c r="BX2" s="5">
        <v>2</v>
      </c>
      <c r="BY2" s="5">
        <v>3</v>
      </c>
      <c r="BZ2" s="5">
        <v>7</v>
      </c>
      <c r="CA2" s="5">
        <v>2</v>
      </c>
      <c r="CB2" s="5">
        <v>2</v>
      </c>
      <c r="CC2" s="5">
        <v>3</v>
      </c>
      <c r="CD2" s="5">
        <v>3</v>
      </c>
      <c r="CE2" s="5">
        <v>0</v>
      </c>
      <c r="CF2" s="5">
        <v>2</v>
      </c>
      <c r="CG2" s="5">
        <v>0</v>
      </c>
      <c r="CH2" s="5">
        <v>1</v>
      </c>
      <c r="CI2" s="5">
        <v>0</v>
      </c>
      <c r="CJ2" s="5">
        <v>2</v>
      </c>
      <c r="CK2" s="5">
        <v>1</v>
      </c>
      <c r="CL2" s="5">
        <v>3</v>
      </c>
      <c r="CM2" s="5">
        <v>2</v>
      </c>
      <c r="CN2" s="5">
        <v>0</v>
      </c>
      <c r="CO2" s="5">
        <v>3</v>
      </c>
      <c r="CP2" s="5">
        <v>1</v>
      </c>
      <c r="CQ2" s="5">
        <v>3</v>
      </c>
      <c r="CR2" s="5">
        <v>1</v>
      </c>
      <c r="CS2" s="5">
        <v>1</v>
      </c>
      <c r="CT2" s="5">
        <v>0</v>
      </c>
      <c r="CU2" s="5">
        <v>2</v>
      </c>
      <c r="CV2" s="5">
        <v>1</v>
      </c>
      <c r="CW2" s="5">
        <v>1</v>
      </c>
      <c r="CX2" s="5">
        <v>0</v>
      </c>
      <c r="CY2" s="5">
        <v>1</v>
      </c>
      <c r="CZ2" s="5">
        <v>0</v>
      </c>
      <c r="DA2" s="5">
        <v>0</v>
      </c>
      <c r="DB2" s="5">
        <v>0</v>
      </c>
      <c r="DC2" s="5">
        <v>1</v>
      </c>
      <c r="DD2" s="5">
        <v>0</v>
      </c>
      <c r="DE2" s="5">
        <v>1</v>
      </c>
      <c r="DF2" s="5">
        <v>0</v>
      </c>
      <c r="DG2" s="5">
        <v>0</v>
      </c>
      <c r="DH2" s="5">
        <v>0</v>
      </c>
      <c r="DI2" s="5">
        <v>2</v>
      </c>
      <c r="DJ2" s="5">
        <v>1</v>
      </c>
      <c r="DK2" s="5">
        <v>2</v>
      </c>
      <c r="DL2" s="5">
        <v>0</v>
      </c>
      <c r="DM2" s="5">
        <v>3</v>
      </c>
      <c r="DN2" s="5">
        <v>0</v>
      </c>
      <c r="DO2" s="5">
        <v>0</v>
      </c>
      <c r="DP2" s="5">
        <v>0</v>
      </c>
      <c r="DQ2" s="5">
        <v>1</v>
      </c>
      <c r="DR2">
        <f>YEAR($A2)</f>
        <v>2015</v>
      </c>
      <c r="DS2">
        <f>SUM(N2:Y2)</f>
        <v>153</v>
      </c>
    </row>
    <row r="3" spans="1:123" x14ac:dyDescent="0.35">
      <c r="A3" s="1">
        <f>DATE(YEAR(A2),MONTH(A2)+1,DAY(A2))</f>
        <v>42036</v>
      </c>
      <c r="B3" s="2">
        <v>54</v>
      </c>
      <c r="C3" s="2">
        <v>105</v>
      </c>
      <c r="D3" s="2">
        <v>73</v>
      </c>
      <c r="E3" s="2">
        <v>71</v>
      </c>
      <c r="F3" s="2">
        <v>49</v>
      </c>
      <c r="G3" s="2">
        <v>51</v>
      </c>
      <c r="H3" s="2">
        <v>48</v>
      </c>
      <c r="I3" s="2">
        <v>34</v>
      </c>
      <c r="J3" s="2">
        <v>31</v>
      </c>
      <c r="K3" s="2">
        <v>27</v>
      </c>
      <c r="L3" s="2">
        <v>15</v>
      </c>
      <c r="M3" s="2">
        <v>23</v>
      </c>
      <c r="N3" s="3">
        <v>10</v>
      </c>
      <c r="O3" s="3">
        <v>24</v>
      </c>
      <c r="P3" s="3">
        <v>22</v>
      </c>
      <c r="Q3" s="3">
        <v>22</v>
      </c>
      <c r="R3" s="3">
        <v>14</v>
      </c>
      <c r="S3" s="3">
        <v>13</v>
      </c>
      <c r="T3" s="3">
        <v>18</v>
      </c>
      <c r="U3" s="3">
        <v>14</v>
      </c>
      <c r="V3" s="3">
        <v>15</v>
      </c>
      <c r="W3" s="3">
        <v>10</v>
      </c>
      <c r="X3" s="3">
        <v>12</v>
      </c>
      <c r="Y3" s="3">
        <v>15</v>
      </c>
      <c r="Z3" s="3">
        <v>14</v>
      </c>
      <c r="AA3" s="3">
        <v>10</v>
      </c>
      <c r="AB3" s="3">
        <v>8</v>
      </c>
      <c r="AC3" s="3">
        <v>11</v>
      </c>
      <c r="AD3" s="3">
        <v>8</v>
      </c>
      <c r="AE3" s="3">
        <v>9</v>
      </c>
      <c r="AF3" s="3">
        <v>10</v>
      </c>
      <c r="AG3" s="3">
        <v>11</v>
      </c>
      <c r="AH3" s="3">
        <v>5</v>
      </c>
      <c r="AI3" s="3">
        <v>6</v>
      </c>
      <c r="AJ3" s="3">
        <v>7</v>
      </c>
      <c r="AK3" s="3">
        <v>8</v>
      </c>
      <c r="AL3" s="3">
        <v>7</v>
      </c>
      <c r="AM3" s="3">
        <v>8</v>
      </c>
      <c r="AN3" s="3">
        <v>5</v>
      </c>
      <c r="AO3" s="3">
        <v>5</v>
      </c>
      <c r="AP3" s="3">
        <v>1</v>
      </c>
      <c r="AQ3" s="3">
        <v>3</v>
      </c>
      <c r="AR3" s="3">
        <v>5</v>
      </c>
      <c r="AS3" s="3">
        <v>7</v>
      </c>
      <c r="AT3" s="3">
        <v>5</v>
      </c>
      <c r="AU3" s="3">
        <v>3</v>
      </c>
      <c r="AV3" s="3">
        <v>4</v>
      </c>
      <c r="AW3" s="3">
        <v>6</v>
      </c>
      <c r="AX3" s="3">
        <v>7</v>
      </c>
      <c r="AY3" s="3">
        <v>1</v>
      </c>
      <c r="AZ3" s="3">
        <v>3</v>
      </c>
      <c r="BA3" s="3">
        <v>7</v>
      </c>
      <c r="BB3" s="3">
        <v>4</v>
      </c>
      <c r="BC3" s="3">
        <v>4</v>
      </c>
      <c r="BD3" s="3">
        <v>5</v>
      </c>
      <c r="BE3" s="3">
        <v>3</v>
      </c>
      <c r="BF3" s="3">
        <v>2</v>
      </c>
      <c r="BG3" s="3">
        <v>2</v>
      </c>
      <c r="BH3" s="3">
        <v>4</v>
      </c>
      <c r="BI3" s="3">
        <v>4</v>
      </c>
      <c r="BJ3" s="3">
        <v>1</v>
      </c>
      <c r="BK3" s="3">
        <v>2</v>
      </c>
      <c r="BL3" s="3">
        <v>1</v>
      </c>
      <c r="BM3" s="3">
        <v>4</v>
      </c>
      <c r="BN3" s="3">
        <v>1</v>
      </c>
      <c r="BO3" s="3">
        <v>5</v>
      </c>
      <c r="BP3" s="3">
        <v>1</v>
      </c>
      <c r="BQ3" s="3">
        <v>1</v>
      </c>
      <c r="BR3" s="3">
        <v>3</v>
      </c>
      <c r="BS3" s="3">
        <v>5</v>
      </c>
      <c r="BT3" s="3">
        <v>3</v>
      </c>
      <c r="BU3" s="3">
        <v>2</v>
      </c>
      <c r="BV3" s="3">
        <v>1</v>
      </c>
      <c r="BW3" s="3">
        <v>0</v>
      </c>
      <c r="BX3" s="3">
        <v>0</v>
      </c>
      <c r="BY3" s="3">
        <v>1</v>
      </c>
      <c r="BZ3" s="3">
        <v>2</v>
      </c>
      <c r="CA3" s="3">
        <v>2</v>
      </c>
      <c r="CB3" s="3">
        <v>1</v>
      </c>
      <c r="CC3" s="3">
        <v>1</v>
      </c>
      <c r="CD3" s="3">
        <v>3</v>
      </c>
      <c r="CE3" s="3">
        <v>0</v>
      </c>
      <c r="CF3" s="3">
        <v>1</v>
      </c>
      <c r="CG3" s="3">
        <v>1</v>
      </c>
      <c r="CH3" s="3">
        <v>3</v>
      </c>
      <c r="CI3" s="3">
        <v>0</v>
      </c>
      <c r="CJ3" s="3">
        <v>0</v>
      </c>
      <c r="CK3" s="3">
        <v>2</v>
      </c>
      <c r="CL3" s="3">
        <v>5</v>
      </c>
      <c r="CM3" s="3">
        <v>0</v>
      </c>
      <c r="CN3" s="3">
        <v>4</v>
      </c>
      <c r="CO3" s="3">
        <v>0</v>
      </c>
      <c r="CP3" s="3">
        <v>1</v>
      </c>
      <c r="CQ3" s="3">
        <v>0</v>
      </c>
      <c r="CR3" s="3">
        <v>1</v>
      </c>
      <c r="CS3" s="3">
        <v>2</v>
      </c>
      <c r="CT3" s="3">
        <v>0</v>
      </c>
      <c r="CU3" s="3">
        <v>2</v>
      </c>
      <c r="CV3" s="3">
        <v>1</v>
      </c>
      <c r="CW3" s="3">
        <v>1</v>
      </c>
      <c r="CX3" s="3">
        <v>4</v>
      </c>
      <c r="CY3" s="3">
        <v>1</v>
      </c>
      <c r="CZ3" s="3">
        <v>1</v>
      </c>
      <c r="DA3" s="3">
        <v>0</v>
      </c>
      <c r="DB3" s="3">
        <v>1</v>
      </c>
      <c r="DC3" s="3">
        <v>0</v>
      </c>
      <c r="DD3" s="3">
        <v>0</v>
      </c>
      <c r="DE3" s="3">
        <v>0</v>
      </c>
      <c r="DF3" s="3">
        <v>1</v>
      </c>
      <c r="DG3" s="3">
        <v>1</v>
      </c>
      <c r="DH3" s="3">
        <v>0</v>
      </c>
      <c r="DI3" s="3">
        <v>3</v>
      </c>
      <c r="DJ3" s="3">
        <v>2</v>
      </c>
      <c r="DK3" s="3">
        <v>2</v>
      </c>
      <c r="DL3" s="3">
        <v>1</v>
      </c>
      <c r="DM3" s="3">
        <v>0</v>
      </c>
      <c r="DN3" s="3">
        <v>2</v>
      </c>
      <c r="DO3" s="3">
        <v>0</v>
      </c>
      <c r="DP3" s="3">
        <v>0</v>
      </c>
      <c r="DQ3" s="3" t="s">
        <v>201</v>
      </c>
      <c r="DR3">
        <f t="shared" ref="DR3:DR66" si="0">YEAR($A3)</f>
        <v>2015</v>
      </c>
    </row>
    <row r="4" spans="1:123" x14ac:dyDescent="0.35">
      <c r="A4" s="1">
        <f t="shared" ref="A4:A67" si="1">DATE(YEAR(A3),MONTH(A3)+1,DAY(A3))</f>
        <v>42064</v>
      </c>
      <c r="B4" s="2">
        <v>48</v>
      </c>
      <c r="C4" s="2">
        <v>94</v>
      </c>
      <c r="D4" s="2">
        <v>60</v>
      </c>
      <c r="E4" s="2">
        <v>61</v>
      </c>
      <c r="F4" s="2">
        <v>43</v>
      </c>
      <c r="G4" s="2">
        <v>40</v>
      </c>
      <c r="H4" s="2">
        <v>35</v>
      </c>
      <c r="I4" s="2">
        <v>34</v>
      </c>
      <c r="J4" s="2">
        <v>23</v>
      </c>
      <c r="K4" s="2">
        <v>23</v>
      </c>
      <c r="L4" s="2">
        <v>16</v>
      </c>
      <c r="M4" s="2">
        <v>20</v>
      </c>
      <c r="N4" s="3">
        <v>35</v>
      </c>
      <c r="O4" s="3">
        <v>22</v>
      </c>
      <c r="P4" s="3">
        <v>19</v>
      </c>
      <c r="Q4" s="3">
        <v>15</v>
      </c>
      <c r="R4" s="3">
        <v>13</v>
      </c>
      <c r="S4" s="3">
        <v>11</v>
      </c>
      <c r="T4" s="3">
        <v>17</v>
      </c>
      <c r="U4" s="3">
        <v>17</v>
      </c>
      <c r="V4" s="3">
        <v>16</v>
      </c>
      <c r="W4" s="3">
        <v>10</v>
      </c>
      <c r="X4" s="3">
        <v>12</v>
      </c>
      <c r="Y4" s="3">
        <v>12</v>
      </c>
      <c r="Z4" s="3">
        <v>8</v>
      </c>
      <c r="AA4" s="3">
        <v>10</v>
      </c>
      <c r="AB4" s="3">
        <v>9</v>
      </c>
      <c r="AC4" s="3">
        <v>9</v>
      </c>
      <c r="AD4" s="3">
        <v>9</v>
      </c>
      <c r="AE4" s="3">
        <v>9</v>
      </c>
      <c r="AF4" s="3">
        <v>9</v>
      </c>
      <c r="AG4" s="3">
        <v>8</v>
      </c>
      <c r="AH4" s="3">
        <v>3</v>
      </c>
      <c r="AI4" s="3">
        <v>8</v>
      </c>
      <c r="AJ4" s="3">
        <v>7</v>
      </c>
      <c r="AK4" s="3">
        <v>9</v>
      </c>
      <c r="AL4" s="3">
        <v>2</v>
      </c>
      <c r="AM4" s="3">
        <v>7</v>
      </c>
      <c r="AN4" s="3">
        <v>11</v>
      </c>
      <c r="AO4" s="3">
        <v>4</v>
      </c>
      <c r="AP4" s="3">
        <v>6</v>
      </c>
      <c r="AQ4" s="3">
        <v>4</v>
      </c>
      <c r="AR4" s="3">
        <v>7</v>
      </c>
      <c r="AS4" s="3">
        <v>9</v>
      </c>
      <c r="AT4" s="3">
        <v>5</v>
      </c>
      <c r="AU4" s="3">
        <v>4</v>
      </c>
      <c r="AV4" s="3">
        <v>4</v>
      </c>
      <c r="AW4" s="3">
        <v>3</v>
      </c>
      <c r="AX4" s="3">
        <v>3</v>
      </c>
      <c r="AY4" s="3">
        <v>5</v>
      </c>
      <c r="AZ4" s="3">
        <v>3</v>
      </c>
      <c r="BA4" s="3">
        <v>2</v>
      </c>
      <c r="BB4" s="3">
        <v>4</v>
      </c>
      <c r="BC4" s="3">
        <v>2</v>
      </c>
      <c r="BD4" s="3">
        <v>1</v>
      </c>
      <c r="BE4" s="3">
        <v>2</v>
      </c>
      <c r="BF4" s="3">
        <v>1</v>
      </c>
      <c r="BG4" s="3">
        <v>5</v>
      </c>
      <c r="BH4" s="3">
        <v>2</v>
      </c>
      <c r="BI4" s="3">
        <v>7</v>
      </c>
      <c r="BJ4" s="3">
        <v>4</v>
      </c>
      <c r="BK4" s="3">
        <v>2</v>
      </c>
      <c r="BL4" s="3">
        <v>4</v>
      </c>
      <c r="BM4" s="3">
        <v>2</v>
      </c>
      <c r="BN4" s="3">
        <v>4</v>
      </c>
      <c r="BO4" s="3">
        <v>2</v>
      </c>
      <c r="BP4" s="3">
        <v>3</v>
      </c>
      <c r="BQ4" s="3">
        <v>2</v>
      </c>
      <c r="BR4" s="3">
        <v>2</v>
      </c>
      <c r="BS4" s="3">
        <v>2</v>
      </c>
      <c r="BT4" s="3">
        <v>2</v>
      </c>
      <c r="BU4" s="3">
        <v>5</v>
      </c>
      <c r="BV4" s="3">
        <v>0</v>
      </c>
      <c r="BW4" s="3">
        <v>4</v>
      </c>
      <c r="BX4" s="3">
        <v>1</v>
      </c>
      <c r="BY4" s="3">
        <v>2</v>
      </c>
      <c r="BZ4" s="3">
        <v>0</v>
      </c>
      <c r="CA4" s="3">
        <v>3</v>
      </c>
      <c r="CB4" s="3">
        <v>0</v>
      </c>
      <c r="CC4" s="3">
        <v>2</v>
      </c>
      <c r="CD4" s="3">
        <v>1</v>
      </c>
      <c r="CE4" s="3">
        <v>0</v>
      </c>
      <c r="CF4" s="3">
        <v>0</v>
      </c>
      <c r="CG4" s="3">
        <v>2</v>
      </c>
      <c r="CH4" s="3">
        <v>1</v>
      </c>
      <c r="CI4" s="3">
        <v>1</v>
      </c>
      <c r="CJ4" s="3">
        <v>2</v>
      </c>
      <c r="CK4" s="3">
        <v>2</v>
      </c>
      <c r="CL4" s="3">
        <v>2</v>
      </c>
      <c r="CM4" s="3">
        <v>1</v>
      </c>
      <c r="CN4" s="3">
        <v>0</v>
      </c>
      <c r="CO4" s="3">
        <v>1</v>
      </c>
      <c r="CP4" s="3">
        <v>0</v>
      </c>
      <c r="CQ4" s="3">
        <v>0</v>
      </c>
      <c r="CR4" s="3">
        <v>0</v>
      </c>
      <c r="CS4" s="3">
        <v>1</v>
      </c>
      <c r="CT4" s="3">
        <v>1</v>
      </c>
      <c r="CU4" s="3">
        <v>1</v>
      </c>
      <c r="CV4" s="3">
        <v>2</v>
      </c>
      <c r="CW4" s="3">
        <v>0</v>
      </c>
      <c r="CX4" s="3">
        <v>0</v>
      </c>
      <c r="CY4" s="3">
        <v>2</v>
      </c>
      <c r="CZ4" s="3">
        <v>0</v>
      </c>
      <c r="DA4" s="3">
        <v>0</v>
      </c>
      <c r="DB4" s="3">
        <v>0</v>
      </c>
      <c r="DC4" s="3">
        <v>3</v>
      </c>
      <c r="DD4" s="3">
        <v>0</v>
      </c>
      <c r="DE4" s="3">
        <v>3</v>
      </c>
      <c r="DF4" s="3">
        <v>3</v>
      </c>
      <c r="DG4" s="3">
        <v>0</v>
      </c>
      <c r="DH4" s="3">
        <v>0</v>
      </c>
      <c r="DI4" s="3">
        <v>0</v>
      </c>
      <c r="DJ4" s="3">
        <v>0</v>
      </c>
      <c r="DK4" s="3">
        <v>1</v>
      </c>
      <c r="DL4" s="3">
        <v>0</v>
      </c>
      <c r="DM4" s="3">
        <v>0</v>
      </c>
      <c r="DN4" s="3">
        <v>1</v>
      </c>
      <c r="DO4" s="3">
        <v>0</v>
      </c>
      <c r="DP4" s="3" t="s">
        <v>201</v>
      </c>
      <c r="DQ4" s="3" t="s">
        <v>201</v>
      </c>
      <c r="DR4">
        <f t="shared" si="0"/>
        <v>2015</v>
      </c>
    </row>
    <row r="5" spans="1:123" x14ac:dyDescent="0.35">
      <c r="A5" s="1">
        <f t="shared" si="1"/>
        <v>42095</v>
      </c>
      <c r="B5" s="2">
        <v>68</v>
      </c>
      <c r="C5" s="2">
        <v>90</v>
      </c>
      <c r="D5" s="2">
        <v>58</v>
      </c>
      <c r="E5" s="2">
        <v>63</v>
      </c>
      <c r="F5" s="2">
        <v>31</v>
      </c>
      <c r="G5" s="2">
        <v>61</v>
      </c>
      <c r="H5" s="2">
        <v>35</v>
      </c>
      <c r="I5" s="2">
        <v>34</v>
      </c>
      <c r="J5" s="2">
        <v>26</v>
      </c>
      <c r="K5" s="2">
        <v>21</v>
      </c>
      <c r="L5" s="2">
        <v>24</v>
      </c>
      <c r="M5" s="2">
        <v>25</v>
      </c>
      <c r="N5" s="3">
        <v>23</v>
      </c>
      <c r="O5" s="3">
        <v>22</v>
      </c>
      <c r="P5" s="3">
        <v>17</v>
      </c>
      <c r="Q5" s="3">
        <v>16</v>
      </c>
      <c r="R5" s="3">
        <v>13</v>
      </c>
      <c r="S5" s="3">
        <v>16</v>
      </c>
      <c r="T5" s="3">
        <v>13</v>
      </c>
      <c r="U5" s="3">
        <v>11</v>
      </c>
      <c r="V5" s="3">
        <v>15</v>
      </c>
      <c r="W5" s="3">
        <v>11</v>
      </c>
      <c r="X5" s="3">
        <v>6</v>
      </c>
      <c r="Y5" s="3">
        <v>11</v>
      </c>
      <c r="Z5" s="3">
        <v>13</v>
      </c>
      <c r="AA5" s="3">
        <v>12</v>
      </c>
      <c r="AB5" s="3">
        <v>8</v>
      </c>
      <c r="AC5" s="3">
        <v>4</v>
      </c>
      <c r="AD5" s="3">
        <v>10</v>
      </c>
      <c r="AE5" s="3">
        <v>6</v>
      </c>
      <c r="AF5" s="3">
        <v>9</v>
      </c>
      <c r="AG5" s="3">
        <v>6</v>
      </c>
      <c r="AH5" s="3">
        <v>5</v>
      </c>
      <c r="AI5" s="3">
        <v>3</v>
      </c>
      <c r="AJ5" s="3">
        <v>10</v>
      </c>
      <c r="AK5" s="3">
        <v>6</v>
      </c>
      <c r="AL5" s="3">
        <v>7</v>
      </c>
      <c r="AM5" s="3">
        <v>4</v>
      </c>
      <c r="AN5" s="3">
        <v>6</v>
      </c>
      <c r="AO5" s="3">
        <v>4</v>
      </c>
      <c r="AP5" s="3">
        <v>5</v>
      </c>
      <c r="AQ5" s="3">
        <v>7</v>
      </c>
      <c r="AR5" s="3">
        <v>5</v>
      </c>
      <c r="AS5" s="3">
        <v>3</v>
      </c>
      <c r="AT5" s="3">
        <v>3</v>
      </c>
      <c r="AU5" s="3">
        <v>5</v>
      </c>
      <c r="AV5" s="3">
        <v>7</v>
      </c>
      <c r="AW5" s="3">
        <v>4</v>
      </c>
      <c r="AX5" s="3">
        <v>4</v>
      </c>
      <c r="AY5" s="3">
        <v>5</v>
      </c>
      <c r="AZ5" s="3">
        <v>1</v>
      </c>
      <c r="BA5" s="3">
        <v>5</v>
      </c>
      <c r="BB5" s="3">
        <v>3</v>
      </c>
      <c r="BC5" s="3">
        <v>4</v>
      </c>
      <c r="BD5" s="3">
        <v>3</v>
      </c>
      <c r="BE5" s="3">
        <v>2</v>
      </c>
      <c r="BF5" s="3">
        <v>1</v>
      </c>
      <c r="BG5" s="3">
        <v>2</v>
      </c>
      <c r="BH5" s="3">
        <v>6</v>
      </c>
      <c r="BI5" s="3">
        <v>4</v>
      </c>
      <c r="BJ5" s="3">
        <v>2</v>
      </c>
      <c r="BK5" s="3">
        <v>2</v>
      </c>
      <c r="BL5" s="3">
        <v>2</v>
      </c>
      <c r="BM5" s="3">
        <v>1</v>
      </c>
      <c r="BN5" s="3">
        <v>3</v>
      </c>
      <c r="BO5" s="3">
        <v>6</v>
      </c>
      <c r="BP5" s="3">
        <v>5</v>
      </c>
      <c r="BQ5" s="3">
        <v>3</v>
      </c>
      <c r="BR5" s="3">
        <v>3</v>
      </c>
      <c r="BS5" s="3">
        <v>1</v>
      </c>
      <c r="BT5" s="3">
        <v>3</v>
      </c>
      <c r="BU5" s="3">
        <v>3</v>
      </c>
      <c r="BV5" s="3">
        <v>2</v>
      </c>
      <c r="BW5" s="3">
        <v>3</v>
      </c>
      <c r="BX5" s="3">
        <v>2</v>
      </c>
      <c r="BY5" s="3">
        <v>0</v>
      </c>
      <c r="BZ5" s="3">
        <v>0</v>
      </c>
      <c r="CA5" s="3">
        <v>5</v>
      </c>
      <c r="CB5" s="3">
        <v>3</v>
      </c>
      <c r="CC5" s="3">
        <v>1</v>
      </c>
      <c r="CD5" s="3">
        <v>3</v>
      </c>
      <c r="CE5" s="3">
        <v>1</v>
      </c>
      <c r="CF5" s="3">
        <v>1</v>
      </c>
      <c r="CG5" s="3">
        <v>3</v>
      </c>
      <c r="CH5" s="3">
        <v>3</v>
      </c>
      <c r="CI5" s="3">
        <v>3</v>
      </c>
      <c r="CJ5" s="3">
        <v>5</v>
      </c>
      <c r="CK5" s="3">
        <v>0</v>
      </c>
      <c r="CL5" s="3">
        <v>0</v>
      </c>
      <c r="CM5" s="3">
        <v>0</v>
      </c>
      <c r="CN5" s="3">
        <v>3</v>
      </c>
      <c r="CO5" s="3">
        <v>4</v>
      </c>
      <c r="CP5" s="3">
        <v>2</v>
      </c>
      <c r="CQ5" s="3">
        <v>1</v>
      </c>
      <c r="CR5" s="3">
        <v>2</v>
      </c>
      <c r="CS5" s="3">
        <v>3</v>
      </c>
      <c r="CT5" s="3">
        <v>2</v>
      </c>
      <c r="CU5" s="3">
        <v>1</v>
      </c>
      <c r="CV5" s="3">
        <v>2</v>
      </c>
      <c r="CW5" s="3">
        <v>1</v>
      </c>
      <c r="CX5" s="3">
        <v>2</v>
      </c>
      <c r="CY5" s="3">
        <v>1</v>
      </c>
      <c r="CZ5" s="3">
        <v>2</v>
      </c>
      <c r="DA5" s="3">
        <v>1</v>
      </c>
      <c r="DB5" s="3">
        <v>0</v>
      </c>
      <c r="DC5" s="3">
        <v>0</v>
      </c>
      <c r="DD5" s="3">
        <v>1</v>
      </c>
      <c r="DE5" s="3">
        <v>1</v>
      </c>
      <c r="DF5" s="3">
        <v>2</v>
      </c>
      <c r="DG5" s="3">
        <v>2</v>
      </c>
      <c r="DH5" s="3">
        <v>2</v>
      </c>
      <c r="DI5" s="3">
        <v>1</v>
      </c>
      <c r="DJ5" s="3">
        <v>0</v>
      </c>
      <c r="DK5" s="3">
        <v>0</v>
      </c>
      <c r="DL5" s="3">
        <v>0</v>
      </c>
      <c r="DM5" s="3">
        <v>0</v>
      </c>
      <c r="DN5" s="3">
        <v>0</v>
      </c>
      <c r="DO5" s="3" t="s">
        <v>201</v>
      </c>
      <c r="DP5" s="3" t="s">
        <v>201</v>
      </c>
      <c r="DQ5" s="3" t="s">
        <v>201</v>
      </c>
      <c r="DR5">
        <f t="shared" si="0"/>
        <v>2015</v>
      </c>
    </row>
    <row r="6" spans="1:123" x14ac:dyDescent="0.35">
      <c r="A6" s="1">
        <f t="shared" si="1"/>
        <v>42125</v>
      </c>
      <c r="B6" s="2">
        <v>54</v>
      </c>
      <c r="C6" s="2">
        <v>84</v>
      </c>
      <c r="D6" s="2">
        <v>68</v>
      </c>
      <c r="E6" s="2">
        <v>64</v>
      </c>
      <c r="F6" s="2">
        <v>50</v>
      </c>
      <c r="G6" s="2">
        <v>45</v>
      </c>
      <c r="H6" s="2">
        <v>25</v>
      </c>
      <c r="I6" s="2">
        <v>32</v>
      </c>
      <c r="J6" s="2">
        <v>30</v>
      </c>
      <c r="K6" s="2">
        <v>29</v>
      </c>
      <c r="L6" s="2">
        <v>29</v>
      </c>
      <c r="M6" s="2">
        <v>26</v>
      </c>
      <c r="N6" s="3">
        <v>16</v>
      </c>
      <c r="O6" s="3">
        <v>20</v>
      </c>
      <c r="P6" s="3">
        <v>18</v>
      </c>
      <c r="Q6" s="3">
        <v>18</v>
      </c>
      <c r="R6" s="3">
        <v>7</v>
      </c>
      <c r="S6" s="3">
        <v>17</v>
      </c>
      <c r="T6" s="3">
        <v>12</v>
      </c>
      <c r="U6" s="3">
        <v>17</v>
      </c>
      <c r="V6" s="3">
        <v>13</v>
      </c>
      <c r="W6" s="3">
        <v>15</v>
      </c>
      <c r="X6" s="3">
        <v>9</v>
      </c>
      <c r="Y6" s="3">
        <v>9</v>
      </c>
      <c r="Z6" s="3">
        <v>7</v>
      </c>
      <c r="AA6" s="3">
        <v>6</v>
      </c>
      <c r="AB6" s="3">
        <v>2</v>
      </c>
      <c r="AC6" s="3">
        <v>5</v>
      </c>
      <c r="AD6" s="3">
        <v>9</v>
      </c>
      <c r="AE6" s="3">
        <v>3</v>
      </c>
      <c r="AF6" s="3">
        <v>8</v>
      </c>
      <c r="AG6" s="3">
        <v>7</v>
      </c>
      <c r="AH6" s="3">
        <v>6</v>
      </c>
      <c r="AI6" s="3">
        <v>9</v>
      </c>
      <c r="AJ6" s="3">
        <v>8</v>
      </c>
      <c r="AK6" s="3">
        <v>6</v>
      </c>
      <c r="AL6" s="3">
        <v>7</v>
      </c>
      <c r="AM6" s="3">
        <v>5</v>
      </c>
      <c r="AN6" s="3">
        <v>2</v>
      </c>
      <c r="AO6" s="3">
        <v>4</v>
      </c>
      <c r="AP6" s="3">
        <v>7</v>
      </c>
      <c r="AQ6" s="3">
        <v>5</v>
      </c>
      <c r="AR6" s="3">
        <v>7</v>
      </c>
      <c r="AS6" s="3">
        <v>4</v>
      </c>
      <c r="AT6" s="3">
        <v>4</v>
      </c>
      <c r="AU6" s="3">
        <v>4</v>
      </c>
      <c r="AV6" s="3">
        <v>2</v>
      </c>
      <c r="AW6" s="3">
        <v>5</v>
      </c>
      <c r="AX6" s="3">
        <v>2</v>
      </c>
      <c r="AY6" s="3">
        <v>2</v>
      </c>
      <c r="AZ6" s="3">
        <v>5</v>
      </c>
      <c r="BA6" s="3">
        <v>2</v>
      </c>
      <c r="BB6" s="3">
        <v>5</v>
      </c>
      <c r="BC6" s="3">
        <v>3</v>
      </c>
      <c r="BD6" s="3">
        <v>1</v>
      </c>
      <c r="BE6" s="3">
        <v>1</v>
      </c>
      <c r="BF6" s="3">
        <v>1</v>
      </c>
      <c r="BG6" s="3">
        <v>5</v>
      </c>
      <c r="BH6" s="3">
        <v>4</v>
      </c>
      <c r="BI6" s="3">
        <v>3</v>
      </c>
      <c r="BJ6" s="3">
        <v>4</v>
      </c>
      <c r="BK6" s="3">
        <v>2</v>
      </c>
      <c r="BL6" s="3">
        <v>0</v>
      </c>
      <c r="BM6" s="3">
        <v>2</v>
      </c>
      <c r="BN6" s="3">
        <v>1</v>
      </c>
      <c r="BO6" s="3">
        <v>2</v>
      </c>
      <c r="BP6" s="3">
        <v>6</v>
      </c>
      <c r="BQ6" s="3">
        <v>2</v>
      </c>
      <c r="BR6" s="3">
        <v>2</v>
      </c>
      <c r="BS6" s="3">
        <v>0</v>
      </c>
      <c r="BT6" s="3">
        <v>3</v>
      </c>
      <c r="BU6" s="3">
        <v>3</v>
      </c>
      <c r="BV6" s="3">
        <v>2</v>
      </c>
      <c r="BW6" s="3">
        <v>1</v>
      </c>
      <c r="BX6" s="3">
        <v>2</v>
      </c>
      <c r="BY6" s="3">
        <v>2</v>
      </c>
      <c r="BZ6" s="3">
        <v>1</v>
      </c>
      <c r="CA6" s="3">
        <v>0</v>
      </c>
      <c r="CB6" s="3">
        <v>3</v>
      </c>
      <c r="CC6" s="3">
        <v>3</v>
      </c>
      <c r="CD6" s="3">
        <v>1</v>
      </c>
      <c r="CE6" s="3">
        <v>2</v>
      </c>
      <c r="CF6" s="3">
        <v>4</v>
      </c>
      <c r="CG6" s="3">
        <v>1</v>
      </c>
      <c r="CH6" s="3">
        <v>1</v>
      </c>
      <c r="CI6" s="3">
        <v>1</v>
      </c>
      <c r="CJ6" s="3">
        <v>0</v>
      </c>
      <c r="CK6" s="3">
        <v>3</v>
      </c>
      <c r="CL6" s="3">
        <v>1</v>
      </c>
      <c r="CM6" s="3">
        <v>2</v>
      </c>
      <c r="CN6" s="3">
        <v>1</v>
      </c>
      <c r="CO6" s="3">
        <v>0</v>
      </c>
      <c r="CP6" s="3">
        <v>3</v>
      </c>
      <c r="CQ6" s="3">
        <v>0</v>
      </c>
      <c r="CR6" s="3">
        <v>1</v>
      </c>
      <c r="CS6" s="3">
        <v>0</v>
      </c>
      <c r="CT6" s="3">
        <v>0</v>
      </c>
      <c r="CU6" s="3">
        <v>1</v>
      </c>
      <c r="CV6" s="3">
        <v>1</v>
      </c>
      <c r="CW6" s="3">
        <v>0</v>
      </c>
      <c r="CX6" s="3">
        <v>1</v>
      </c>
      <c r="CY6" s="3">
        <v>0</v>
      </c>
      <c r="CZ6" s="3">
        <v>3</v>
      </c>
      <c r="DA6" s="3">
        <v>0</v>
      </c>
      <c r="DB6" s="3">
        <v>1</v>
      </c>
      <c r="DC6" s="3">
        <v>0</v>
      </c>
      <c r="DD6" s="3">
        <v>4</v>
      </c>
      <c r="DE6" s="3">
        <v>0</v>
      </c>
      <c r="DF6" s="3">
        <v>1</v>
      </c>
      <c r="DG6" s="3">
        <v>3</v>
      </c>
      <c r="DH6" s="3">
        <v>0</v>
      </c>
      <c r="DI6" s="3">
        <v>1</v>
      </c>
      <c r="DJ6" s="3">
        <v>1</v>
      </c>
      <c r="DK6" s="3">
        <v>1</v>
      </c>
      <c r="DL6" s="3">
        <v>0</v>
      </c>
      <c r="DM6" s="3">
        <v>0</v>
      </c>
      <c r="DN6" s="3" t="s">
        <v>201</v>
      </c>
      <c r="DO6" s="3" t="s">
        <v>201</v>
      </c>
      <c r="DP6" s="3" t="s">
        <v>201</v>
      </c>
      <c r="DQ6" s="3" t="s">
        <v>201</v>
      </c>
      <c r="DR6">
        <f t="shared" si="0"/>
        <v>2015</v>
      </c>
    </row>
    <row r="7" spans="1:123" x14ac:dyDescent="0.35">
      <c r="A7" s="1">
        <f t="shared" si="1"/>
        <v>42156</v>
      </c>
      <c r="B7" s="2">
        <v>47</v>
      </c>
      <c r="C7" s="2">
        <v>97</v>
      </c>
      <c r="D7" s="2">
        <v>44</v>
      </c>
      <c r="E7" s="2">
        <v>55</v>
      </c>
      <c r="F7" s="2">
        <v>37</v>
      </c>
      <c r="G7" s="2">
        <v>22</v>
      </c>
      <c r="H7" s="2">
        <v>36</v>
      </c>
      <c r="I7" s="2">
        <v>22</v>
      </c>
      <c r="J7" s="2">
        <v>27</v>
      </c>
      <c r="K7" s="2">
        <v>20</v>
      </c>
      <c r="L7" s="2">
        <v>22</v>
      </c>
      <c r="M7" s="2">
        <v>19</v>
      </c>
      <c r="N7" s="3">
        <v>11</v>
      </c>
      <c r="O7" s="3">
        <v>18</v>
      </c>
      <c r="P7" s="3">
        <v>19</v>
      </c>
      <c r="Q7" s="3">
        <v>13</v>
      </c>
      <c r="R7" s="3">
        <v>13</v>
      </c>
      <c r="S7" s="3">
        <v>14</v>
      </c>
      <c r="T7" s="3">
        <v>14</v>
      </c>
      <c r="U7" s="3">
        <v>6</v>
      </c>
      <c r="V7" s="3">
        <v>10</v>
      </c>
      <c r="W7" s="3">
        <v>10</v>
      </c>
      <c r="X7" s="3">
        <v>13</v>
      </c>
      <c r="Y7" s="3">
        <v>12</v>
      </c>
      <c r="Z7" s="3">
        <v>8</v>
      </c>
      <c r="AA7" s="3">
        <v>10</v>
      </c>
      <c r="AB7" s="3">
        <v>7</v>
      </c>
      <c r="AC7" s="3">
        <v>4</v>
      </c>
      <c r="AD7" s="3">
        <v>11</v>
      </c>
      <c r="AE7" s="3">
        <v>8</v>
      </c>
      <c r="AF7" s="3">
        <v>7</v>
      </c>
      <c r="AG7" s="3">
        <v>5</v>
      </c>
      <c r="AH7" s="3">
        <v>2</v>
      </c>
      <c r="AI7" s="3">
        <v>3</v>
      </c>
      <c r="AJ7" s="3">
        <v>1</v>
      </c>
      <c r="AK7" s="3">
        <v>3</v>
      </c>
      <c r="AL7" s="3">
        <v>9</v>
      </c>
      <c r="AM7" s="3">
        <v>0</v>
      </c>
      <c r="AN7" s="3">
        <v>9</v>
      </c>
      <c r="AO7" s="3">
        <v>3</v>
      </c>
      <c r="AP7" s="3">
        <v>9</v>
      </c>
      <c r="AQ7" s="3">
        <v>2</v>
      </c>
      <c r="AR7" s="3">
        <v>3</v>
      </c>
      <c r="AS7" s="3">
        <v>4</v>
      </c>
      <c r="AT7" s="3">
        <v>3</v>
      </c>
      <c r="AU7" s="3">
        <v>0</v>
      </c>
      <c r="AV7" s="3">
        <v>2</v>
      </c>
      <c r="AW7" s="3">
        <v>2</v>
      </c>
      <c r="AX7" s="3">
        <v>0</v>
      </c>
      <c r="AY7" s="3">
        <v>7</v>
      </c>
      <c r="AZ7" s="3">
        <v>1</v>
      </c>
      <c r="BA7" s="3">
        <v>3</v>
      </c>
      <c r="BB7" s="3">
        <v>4</v>
      </c>
      <c r="BC7" s="3">
        <v>2</v>
      </c>
      <c r="BD7" s="3">
        <v>3</v>
      </c>
      <c r="BE7" s="3">
        <v>1</v>
      </c>
      <c r="BF7" s="3">
        <v>1</v>
      </c>
      <c r="BG7" s="3">
        <v>2</v>
      </c>
      <c r="BH7" s="3">
        <v>3</v>
      </c>
      <c r="BI7" s="3">
        <v>1</v>
      </c>
      <c r="BJ7" s="3">
        <v>1</v>
      </c>
      <c r="BK7" s="3">
        <v>3</v>
      </c>
      <c r="BL7" s="3">
        <v>2</v>
      </c>
      <c r="BM7" s="3">
        <v>0</v>
      </c>
      <c r="BN7" s="3">
        <v>0</v>
      </c>
      <c r="BO7" s="3">
        <v>1</v>
      </c>
      <c r="BP7" s="3">
        <v>2</v>
      </c>
      <c r="BQ7" s="3">
        <v>2</v>
      </c>
      <c r="BR7" s="3">
        <v>5</v>
      </c>
      <c r="BS7" s="3">
        <v>2</v>
      </c>
      <c r="BT7" s="3">
        <v>2</v>
      </c>
      <c r="BU7" s="3">
        <v>3</v>
      </c>
      <c r="BV7" s="3">
        <v>2</v>
      </c>
      <c r="BW7" s="3">
        <v>2</v>
      </c>
      <c r="BX7" s="3">
        <v>1</v>
      </c>
      <c r="BY7" s="3">
        <v>0</v>
      </c>
      <c r="BZ7" s="3">
        <v>1</v>
      </c>
      <c r="CA7" s="3">
        <v>1</v>
      </c>
      <c r="CB7" s="3">
        <v>3</v>
      </c>
      <c r="CC7" s="3">
        <v>2</v>
      </c>
      <c r="CD7" s="3">
        <v>0</v>
      </c>
      <c r="CE7" s="3">
        <v>2</v>
      </c>
      <c r="CF7" s="3">
        <v>3</v>
      </c>
      <c r="CG7" s="3">
        <v>3</v>
      </c>
      <c r="CH7" s="3">
        <v>1</v>
      </c>
      <c r="CI7" s="3">
        <v>2</v>
      </c>
      <c r="CJ7" s="3">
        <v>0</v>
      </c>
      <c r="CK7" s="3">
        <v>2</v>
      </c>
      <c r="CL7" s="3">
        <v>0</v>
      </c>
      <c r="CM7" s="3">
        <v>1</v>
      </c>
      <c r="CN7" s="3">
        <v>2</v>
      </c>
      <c r="CO7" s="3">
        <v>1</v>
      </c>
      <c r="CP7" s="3">
        <v>0</v>
      </c>
      <c r="CQ7" s="3">
        <v>1</v>
      </c>
      <c r="CR7" s="3">
        <v>0</v>
      </c>
      <c r="CS7" s="3">
        <v>4</v>
      </c>
      <c r="CT7" s="3">
        <v>0</v>
      </c>
      <c r="CU7" s="3">
        <v>2</v>
      </c>
      <c r="CV7" s="3">
        <v>0</v>
      </c>
      <c r="CW7" s="3">
        <v>1</v>
      </c>
      <c r="CX7" s="3">
        <v>2</v>
      </c>
      <c r="CY7" s="3">
        <v>0</v>
      </c>
      <c r="CZ7" s="3">
        <v>1</v>
      </c>
      <c r="DA7" s="3">
        <v>0</v>
      </c>
      <c r="DB7" s="3">
        <v>0</v>
      </c>
      <c r="DC7" s="3">
        <v>0</v>
      </c>
      <c r="DD7" s="3">
        <v>2</v>
      </c>
      <c r="DE7" s="3">
        <v>1</v>
      </c>
      <c r="DF7" s="3">
        <v>1</v>
      </c>
      <c r="DG7" s="3">
        <v>3</v>
      </c>
      <c r="DH7" s="3">
        <v>3</v>
      </c>
      <c r="DI7" s="3">
        <v>1</v>
      </c>
      <c r="DJ7" s="3">
        <v>1</v>
      </c>
      <c r="DK7" s="3">
        <v>0</v>
      </c>
      <c r="DL7" s="3">
        <v>2</v>
      </c>
      <c r="DM7" s="3" t="s">
        <v>201</v>
      </c>
      <c r="DN7" s="3" t="s">
        <v>201</v>
      </c>
      <c r="DO7" s="3" t="s">
        <v>201</v>
      </c>
      <c r="DP7" s="3" t="s">
        <v>201</v>
      </c>
      <c r="DQ7" s="3" t="s">
        <v>201</v>
      </c>
      <c r="DR7">
        <f t="shared" si="0"/>
        <v>2015</v>
      </c>
    </row>
    <row r="8" spans="1:123" x14ac:dyDescent="0.35">
      <c r="A8" s="1">
        <f t="shared" si="1"/>
        <v>42186</v>
      </c>
      <c r="B8" s="2">
        <v>28</v>
      </c>
      <c r="C8" s="2">
        <v>41</v>
      </c>
      <c r="D8" s="2">
        <v>28</v>
      </c>
      <c r="E8" s="2">
        <v>41</v>
      </c>
      <c r="F8" s="2">
        <v>37</v>
      </c>
      <c r="G8" s="2">
        <v>47</v>
      </c>
      <c r="H8" s="2">
        <v>22</v>
      </c>
      <c r="I8" s="2">
        <v>20</v>
      </c>
      <c r="J8" s="2">
        <v>26</v>
      </c>
      <c r="K8" s="2">
        <v>20</v>
      </c>
      <c r="L8" s="2">
        <v>17</v>
      </c>
      <c r="M8" s="2">
        <v>13</v>
      </c>
      <c r="N8" s="3">
        <v>18</v>
      </c>
      <c r="O8" s="3">
        <v>21</v>
      </c>
      <c r="P8" s="3">
        <v>15</v>
      </c>
      <c r="Q8" s="3">
        <v>19</v>
      </c>
      <c r="R8" s="3">
        <v>16</v>
      </c>
      <c r="S8" s="3">
        <v>12</v>
      </c>
      <c r="T8" s="3">
        <v>12</v>
      </c>
      <c r="U8" s="3">
        <v>7</v>
      </c>
      <c r="V8" s="3">
        <v>7</v>
      </c>
      <c r="W8" s="3">
        <v>8</v>
      </c>
      <c r="X8" s="3">
        <v>4</v>
      </c>
      <c r="Y8" s="3">
        <v>6</v>
      </c>
      <c r="Z8" s="3">
        <v>2</v>
      </c>
      <c r="AA8" s="3">
        <v>9</v>
      </c>
      <c r="AB8" s="3">
        <v>10</v>
      </c>
      <c r="AC8" s="3">
        <v>11</v>
      </c>
      <c r="AD8" s="3">
        <v>5</v>
      </c>
      <c r="AE8" s="3">
        <v>6</v>
      </c>
      <c r="AF8" s="3">
        <v>6</v>
      </c>
      <c r="AG8" s="3">
        <v>7</v>
      </c>
      <c r="AH8" s="3">
        <v>4</v>
      </c>
      <c r="AI8" s="3">
        <v>4</v>
      </c>
      <c r="AJ8" s="3">
        <v>9</v>
      </c>
      <c r="AK8" s="3">
        <v>10</v>
      </c>
      <c r="AL8" s="3">
        <v>8</v>
      </c>
      <c r="AM8" s="3">
        <v>3</v>
      </c>
      <c r="AN8" s="3">
        <v>6</v>
      </c>
      <c r="AO8" s="3">
        <v>4</v>
      </c>
      <c r="AP8" s="3">
        <v>2</v>
      </c>
      <c r="AQ8" s="3">
        <v>5</v>
      </c>
      <c r="AR8" s="3">
        <v>5</v>
      </c>
      <c r="AS8" s="3">
        <v>1</v>
      </c>
      <c r="AT8" s="3">
        <v>1</v>
      </c>
      <c r="AU8" s="3">
        <v>2</v>
      </c>
      <c r="AV8" s="3">
        <v>7</v>
      </c>
      <c r="AW8" s="3">
        <v>5</v>
      </c>
      <c r="AX8" s="3">
        <v>1</v>
      </c>
      <c r="AY8" s="3">
        <v>5</v>
      </c>
      <c r="AZ8" s="3">
        <v>3</v>
      </c>
      <c r="BA8" s="3">
        <v>2</v>
      </c>
      <c r="BB8" s="3">
        <v>3</v>
      </c>
      <c r="BC8" s="3">
        <v>4</v>
      </c>
      <c r="BD8" s="3">
        <v>2</v>
      </c>
      <c r="BE8" s="3">
        <v>5</v>
      </c>
      <c r="BF8" s="3">
        <v>2</v>
      </c>
      <c r="BG8" s="3">
        <v>4</v>
      </c>
      <c r="BH8" s="3">
        <v>0</v>
      </c>
      <c r="BI8" s="3">
        <v>2</v>
      </c>
      <c r="BJ8" s="3">
        <v>3</v>
      </c>
      <c r="BK8" s="3">
        <v>5</v>
      </c>
      <c r="BL8" s="3">
        <v>0</v>
      </c>
      <c r="BM8" s="3">
        <v>5</v>
      </c>
      <c r="BN8" s="3">
        <v>2</v>
      </c>
      <c r="BO8" s="3">
        <v>4</v>
      </c>
      <c r="BP8" s="3">
        <v>0</v>
      </c>
      <c r="BQ8" s="3">
        <v>0</v>
      </c>
      <c r="BR8" s="3">
        <v>1</v>
      </c>
      <c r="BS8" s="3">
        <v>0</v>
      </c>
      <c r="BT8" s="3">
        <v>3</v>
      </c>
      <c r="BU8" s="3">
        <v>0</v>
      </c>
      <c r="BV8" s="3">
        <v>0</v>
      </c>
      <c r="BW8" s="3">
        <v>2</v>
      </c>
      <c r="BX8" s="3">
        <v>5</v>
      </c>
      <c r="BY8" s="3">
        <v>0</v>
      </c>
      <c r="BZ8" s="3">
        <v>1</v>
      </c>
      <c r="CA8" s="3">
        <v>2</v>
      </c>
      <c r="CB8" s="3">
        <v>3</v>
      </c>
      <c r="CC8" s="3">
        <v>0</v>
      </c>
      <c r="CD8" s="3">
        <v>1</v>
      </c>
      <c r="CE8" s="3">
        <v>1</v>
      </c>
      <c r="CF8" s="3">
        <v>3</v>
      </c>
      <c r="CG8" s="3">
        <v>2</v>
      </c>
      <c r="CH8" s="3">
        <v>1</v>
      </c>
      <c r="CI8" s="3">
        <v>0</v>
      </c>
      <c r="CJ8" s="3">
        <v>0</v>
      </c>
      <c r="CK8" s="3">
        <v>0</v>
      </c>
      <c r="CL8" s="3">
        <v>1</v>
      </c>
      <c r="CM8" s="3">
        <v>1</v>
      </c>
      <c r="CN8" s="3">
        <v>1</v>
      </c>
      <c r="CO8" s="3">
        <v>4</v>
      </c>
      <c r="CP8" s="3">
        <v>0</v>
      </c>
      <c r="CQ8" s="3">
        <v>0</v>
      </c>
      <c r="CR8" s="3">
        <v>0</v>
      </c>
      <c r="CS8" s="3">
        <v>2</v>
      </c>
      <c r="CT8" s="3">
        <v>1</v>
      </c>
      <c r="CU8" s="3">
        <v>0</v>
      </c>
      <c r="CV8" s="3">
        <v>1</v>
      </c>
      <c r="CW8" s="3">
        <v>2</v>
      </c>
      <c r="CX8" s="3">
        <v>0</v>
      </c>
      <c r="CY8" s="3">
        <v>1</v>
      </c>
      <c r="CZ8" s="3">
        <v>1</v>
      </c>
      <c r="DA8" s="3">
        <v>0</v>
      </c>
      <c r="DB8" s="3">
        <v>0</v>
      </c>
      <c r="DC8" s="3">
        <v>1</v>
      </c>
      <c r="DD8" s="3">
        <v>1</v>
      </c>
      <c r="DE8" s="3">
        <v>1</v>
      </c>
      <c r="DF8" s="3">
        <v>0</v>
      </c>
      <c r="DG8" s="3">
        <v>3</v>
      </c>
      <c r="DH8" s="3">
        <v>1</v>
      </c>
      <c r="DI8" s="3">
        <v>0</v>
      </c>
      <c r="DJ8" s="3">
        <v>1</v>
      </c>
      <c r="DK8" s="3">
        <v>0</v>
      </c>
      <c r="DL8" s="3" t="s">
        <v>201</v>
      </c>
      <c r="DM8" s="3" t="s">
        <v>201</v>
      </c>
      <c r="DN8" s="3" t="s">
        <v>201</v>
      </c>
      <c r="DO8" s="3" t="s">
        <v>201</v>
      </c>
      <c r="DP8" s="3" t="s">
        <v>201</v>
      </c>
      <c r="DQ8" s="3" t="s">
        <v>201</v>
      </c>
      <c r="DR8">
        <f t="shared" si="0"/>
        <v>2015</v>
      </c>
    </row>
    <row r="9" spans="1:123" x14ac:dyDescent="0.35">
      <c r="A9" s="1">
        <f t="shared" si="1"/>
        <v>42217</v>
      </c>
      <c r="B9" s="2">
        <v>33</v>
      </c>
      <c r="C9" s="2">
        <v>57</v>
      </c>
      <c r="D9" s="2">
        <v>39</v>
      </c>
      <c r="E9" s="2">
        <v>48</v>
      </c>
      <c r="F9" s="2">
        <v>35</v>
      </c>
      <c r="G9" s="2">
        <v>30</v>
      </c>
      <c r="H9" s="2">
        <v>29</v>
      </c>
      <c r="I9" s="2">
        <v>28</v>
      </c>
      <c r="J9" s="2">
        <v>28</v>
      </c>
      <c r="K9" s="2">
        <v>14</v>
      </c>
      <c r="L9" s="2">
        <v>18</v>
      </c>
      <c r="M9" s="2">
        <v>14</v>
      </c>
      <c r="N9" s="3">
        <v>11</v>
      </c>
      <c r="O9" s="3">
        <v>22</v>
      </c>
      <c r="P9" s="3">
        <v>20</v>
      </c>
      <c r="Q9" s="3">
        <v>15</v>
      </c>
      <c r="R9" s="3">
        <v>8</v>
      </c>
      <c r="S9" s="3">
        <v>12</v>
      </c>
      <c r="T9" s="3">
        <v>7</v>
      </c>
      <c r="U9" s="3">
        <v>5</v>
      </c>
      <c r="V9" s="3">
        <v>4</v>
      </c>
      <c r="W9" s="3">
        <v>6</v>
      </c>
      <c r="X9" s="3">
        <v>8</v>
      </c>
      <c r="Y9" s="3">
        <v>5</v>
      </c>
      <c r="Z9" s="3">
        <v>3</v>
      </c>
      <c r="AA9" s="3">
        <v>7</v>
      </c>
      <c r="AB9" s="3">
        <v>4</v>
      </c>
      <c r="AC9" s="3">
        <v>5</v>
      </c>
      <c r="AD9" s="3">
        <v>11</v>
      </c>
      <c r="AE9" s="3">
        <v>6</v>
      </c>
      <c r="AF9" s="3">
        <v>5</v>
      </c>
      <c r="AG9" s="3">
        <v>8</v>
      </c>
      <c r="AH9" s="3">
        <v>2</v>
      </c>
      <c r="AI9" s="3">
        <v>3</v>
      </c>
      <c r="AJ9" s="3">
        <v>3</v>
      </c>
      <c r="AK9" s="3">
        <v>8</v>
      </c>
      <c r="AL9" s="3">
        <v>1</v>
      </c>
      <c r="AM9" s="3">
        <v>4</v>
      </c>
      <c r="AN9" s="3">
        <v>2</v>
      </c>
      <c r="AO9" s="3">
        <v>4</v>
      </c>
      <c r="AP9" s="3">
        <v>1</v>
      </c>
      <c r="AQ9" s="3">
        <v>1</v>
      </c>
      <c r="AR9" s="3">
        <v>5</v>
      </c>
      <c r="AS9" s="3">
        <v>1</v>
      </c>
      <c r="AT9" s="3">
        <v>9</v>
      </c>
      <c r="AU9" s="3">
        <v>2</v>
      </c>
      <c r="AV9" s="3">
        <v>5</v>
      </c>
      <c r="AW9" s="3">
        <v>5</v>
      </c>
      <c r="AX9" s="3">
        <v>1</v>
      </c>
      <c r="AY9" s="3">
        <v>4</v>
      </c>
      <c r="AZ9" s="3">
        <v>0</v>
      </c>
      <c r="BA9" s="3">
        <v>2</v>
      </c>
      <c r="BB9" s="3">
        <v>4</v>
      </c>
      <c r="BC9" s="3">
        <v>1</v>
      </c>
      <c r="BD9" s="3">
        <v>2</v>
      </c>
      <c r="BE9" s="3">
        <v>6</v>
      </c>
      <c r="BF9" s="3">
        <v>3</v>
      </c>
      <c r="BG9" s="3">
        <v>1</v>
      </c>
      <c r="BH9" s="3">
        <v>1</v>
      </c>
      <c r="BI9" s="3">
        <v>1</v>
      </c>
      <c r="BJ9" s="3">
        <v>2</v>
      </c>
      <c r="BK9" s="3">
        <v>3</v>
      </c>
      <c r="BL9" s="3">
        <v>2</v>
      </c>
      <c r="BM9" s="3">
        <v>1</v>
      </c>
      <c r="BN9" s="3">
        <v>3</v>
      </c>
      <c r="BO9" s="3">
        <v>3</v>
      </c>
      <c r="BP9" s="3">
        <v>1</v>
      </c>
      <c r="BQ9" s="3">
        <v>2</v>
      </c>
      <c r="BR9" s="3">
        <v>0</v>
      </c>
      <c r="BS9" s="3">
        <v>1</v>
      </c>
      <c r="BT9" s="3">
        <v>0</v>
      </c>
      <c r="BU9" s="3">
        <v>5</v>
      </c>
      <c r="BV9" s="3">
        <v>1</v>
      </c>
      <c r="BW9" s="3">
        <v>1</v>
      </c>
      <c r="BX9" s="3">
        <v>0</v>
      </c>
      <c r="BY9" s="3">
        <v>2</v>
      </c>
      <c r="BZ9" s="3">
        <v>1</v>
      </c>
      <c r="CA9" s="3">
        <v>0</v>
      </c>
      <c r="CB9" s="3">
        <v>1</v>
      </c>
      <c r="CC9" s="3">
        <v>1</v>
      </c>
      <c r="CD9" s="3">
        <v>1</v>
      </c>
      <c r="CE9" s="3">
        <v>2</v>
      </c>
      <c r="CF9" s="3">
        <v>2</v>
      </c>
      <c r="CG9" s="3">
        <v>3</v>
      </c>
      <c r="CH9" s="3">
        <v>1</v>
      </c>
      <c r="CI9" s="3">
        <v>0</v>
      </c>
      <c r="CJ9" s="3">
        <v>1</v>
      </c>
      <c r="CK9" s="3">
        <v>1</v>
      </c>
      <c r="CL9" s="3">
        <v>0</v>
      </c>
      <c r="CM9" s="3">
        <v>1</v>
      </c>
      <c r="CN9" s="3">
        <v>0</v>
      </c>
      <c r="CO9" s="3">
        <v>1</v>
      </c>
      <c r="CP9" s="3">
        <v>2</v>
      </c>
      <c r="CQ9" s="3">
        <v>1</v>
      </c>
      <c r="CR9" s="3">
        <v>0</v>
      </c>
      <c r="CS9" s="3">
        <v>1</v>
      </c>
      <c r="CT9" s="3">
        <v>1</v>
      </c>
      <c r="CU9" s="3">
        <v>1</v>
      </c>
      <c r="CV9" s="3">
        <v>1</v>
      </c>
      <c r="CW9" s="3">
        <v>1</v>
      </c>
      <c r="CX9" s="3">
        <v>0</v>
      </c>
      <c r="CY9" s="3">
        <v>0</v>
      </c>
      <c r="CZ9" s="3">
        <v>0</v>
      </c>
      <c r="DA9" s="3">
        <v>1</v>
      </c>
      <c r="DB9" s="3">
        <v>1</v>
      </c>
      <c r="DC9" s="3">
        <v>2</v>
      </c>
      <c r="DD9" s="3">
        <v>2</v>
      </c>
      <c r="DE9" s="3">
        <v>1</v>
      </c>
      <c r="DF9" s="3">
        <v>3</v>
      </c>
      <c r="DG9" s="3">
        <v>0</v>
      </c>
      <c r="DH9" s="3">
        <v>0</v>
      </c>
      <c r="DI9" s="3">
        <v>0</v>
      </c>
      <c r="DJ9" s="3">
        <v>0</v>
      </c>
      <c r="DK9" s="3" t="s">
        <v>201</v>
      </c>
      <c r="DL9" s="3" t="s">
        <v>201</v>
      </c>
      <c r="DM9" s="3" t="s">
        <v>201</v>
      </c>
      <c r="DN9" s="3" t="s">
        <v>201</v>
      </c>
      <c r="DO9" s="3" t="s">
        <v>201</v>
      </c>
      <c r="DP9" s="3" t="s">
        <v>201</v>
      </c>
      <c r="DQ9" s="3" t="s">
        <v>201</v>
      </c>
      <c r="DR9">
        <f t="shared" si="0"/>
        <v>2015</v>
      </c>
    </row>
    <row r="10" spans="1:123" x14ac:dyDescent="0.35">
      <c r="A10" s="1">
        <f t="shared" si="1"/>
        <v>42248</v>
      </c>
      <c r="B10" s="2">
        <v>40</v>
      </c>
      <c r="C10" s="2">
        <v>73</v>
      </c>
      <c r="D10" s="2">
        <v>37</v>
      </c>
      <c r="E10" s="2">
        <v>45</v>
      </c>
      <c r="F10" s="2">
        <v>38</v>
      </c>
      <c r="G10" s="2">
        <v>39</v>
      </c>
      <c r="H10" s="2">
        <v>20</v>
      </c>
      <c r="I10" s="2">
        <v>25</v>
      </c>
      <c r="J10" s="2">
        <v>31</v>
      </c>
      <c r="K10" s="2">
        <v>20</v>
      </c>
      <c r="L10" s="2">
        <v>13</v>
      </c>
      <c r="M10" s="2">
        <v>13</v>
      </c>
      <c r="N10" s="3">
        <v>17</v>
      </c>
      <c r="O10" s="3">
        <v>12</v>
      </c>
      <c r="P10" s="3">
        <v>12</v>
      </c>
      <c r="Q10" s="3">
        <v>11</v>
      </c>
      <c r="R10" s="3">
        <v>17</v>
      </c>
      <c r="S10" s="3">
        <v>9</v>
      </c>
      <c r="T10" s="3">
        <v>7</v>
      </c>
      <c r="U10" s="3">
        <v>9</v>
      </c>
      <c r="V10" s="3">
        <v>8</v>
      </c>
      <c r="W10" s="3">
        <v>6</v>
      </c>
      <c r="X10" s="3">
        <v>5</v>
      </c>
      <c r="Y10" s="3">
        <v>10</v>
      </c>
      <c r="Z10" s="3">
        <v>9</v>
      </c>
      <c r="AA10" s="3">
        <v>7</v>
      </c>
      <c r="AB10" s="3">
        <v>6</v>
      </c>
      <c r="AC10" s="3">
        <v>7</v>
      </c>
      <c r="AD10" s="3">
        <v>4</v>
      </c>
      <c r="AE10" s="3">
        <v>3</v>
      </c>
      <c r="AF10" s="3">
        <v>8</v>
      </c>
      <c r="AG10" s="3">
        <v>5</v>
      </c>
      <c r="AH10" s="3">
        <v>6</v>
      </c>
      <c r="AI10" s="3">
        <v>6</v>
      </c>
      <c r="AJ10" s="3">
        <v>3</v>
      </c>
      <c r="AK10" s="3">
        <v>3</v>
      </c>
      <c r="AL10" s="3">
        <v>3</v>
      </c>
      <c r="AM10" s="3">
        <v>4</v>
      </c>
      <c r="AN10" s="3">
        <v>3</v>
      </c>
      <c r="AO10" s="3">
        <v>1</v>
      </c>
      <c r="AP10" s="3">
        <v>6</v>
      </c>
      <c r="AQ10" s="3">
        <v>5</v>
      </c>
      <c r="AR10" s="3">
        <v>3</v>
      </c>
      <c r="AS10" s="3">
        <v>5</v>
      </c>
      <c r="AT10" s="3">
        <v>3</v>
      </c>
      <c r="AU10" s="3">
        <v>3</v>
      </c>
      <c r="AV10" s="3">
        <v>5</v>
      </c>
      <c r="AW10" s="3">
        <v>2</v>
      </c>
      <c r="AX10" s="3">
        <v>5</v>
      </c>
      <c r="AY10" s="3">
        <v>0</v>
      </c>
      <c r="AZ10" s="3">
        <v>3</v>
      </c>
      <c r="BA10" s="3">
        <v>1</v>
      </c>
      <c r="BB10" s="3">
        <v>4</v>
      </c>
      <c r="BC10" s="3">
        <v>1</v>
      </c>
      <c r="BD10" s="3">
        <v>1</v>
      </c>
      <c r="BE10" s="3">
        <v>1</v>
      </c>
      <c r="BF10" s="3">
        <v>3</v>
      </c>
      <c r="BG10" s="3">
        <v>4</v>
      </c>
      <c r="BH10" s="3">
        <v>4</v>
      </c>
      <c r="BI10" s="3">
        <v>1</v>
      </c>
      <c r="BJ10" s="3">
        <v>1</v>
      </c>
      <c r="BK10" s="3">
        <v>0</v>
      </c>
      <c r="BL10" s="3">
        <v>2</v>
      </c>
      <c r="BM10" s="3">
        <v>1</v>
      </c>
      <c r="BN10" s="3">
        <v>1</v>
      </c>
      <c r="BO10" s="3">
        <v>1</v>
      </c>
      <c r="BP10" s="3">
        <v>5</v>
      </c>
      <c r="BQ10" s="3">
        <v>2</v>
      </c>
      <c r="BR10" s="3">
        <v>2</v>
      </c>
      <c r="BS10" s="3">
        <v>1</v>
      </c>
      <c r="BT10" s="3">
        <v>0</v>
      </c>
      <c r="BU10" s="3">
        <v>0</v>
      </c>
      <c r="BV10" s="3">
        <v>2</v>
      </c>
      <c r="BW10" s="3">
        <v>1</v>
      </c>
      <c r="BX10" s="3">
        <v>0</v>
      </c>
      <c r="BY10" s="3">
        <v>3</v>
      </c>
      <c r="BZ10" s="3">
        <v>2</v>
      </c>
      <c r="CA10" s="3">
        <v>2</v>
      </c>
      <c r="CB10" s="3">
        <v>2</v>
      </c>
      <c r="CC10" s="3">
        <v>2</v>
      </c>
      <c r="CD10" s="3">
        <v>1</v>
      </c>
      <c r="CE10" s="3">
        <v>2</v>
      </c>
      <c r="CF10" s="3">
        <v>0</v>
      </c>
      <c r="CG10" s="3">
        <v>0</v>
      </c>
      <c r="CH10" s="3">
        <v>1</v>
      </c>
      <c r="CI10" s="3">
        <v>1</v>
      </c>
      <c r="CJ10" s="3">
        <v>1</v>
      </c>
      <c r="CK10" s="3">
        <v>1</v>
      </c>
      <c r="CL10" s="3">
        <v>2</v>
      </c>
      <c r="CM10" s="3">
        <v>0</v>
      </c>
      <c r="CN10" s="3">
        <v>2</v>
      </c>
      <c r="CO10" s="3">
        <v>1</v>
      </c>
      <c r="CP10" s="3">
        <v>2</v>
      </c>
      <c r="CQ10" s="3">
        <v>0</v>
      </c>
      <c r="CR10" s="3">
        <v>1</v>
      </c>
      <c r="CS10" s="3">
        <v>2</v>
      </c>
      <c r="CT10" s="3">
        <v>2</v>
      </c>
      <c r="CU10" s="3">
        <v>1</v>
      </c>
      <c r="CV10" s="3">
        <v>0</v>
      </c>
      <c r="CW10" s="3">
        <v>0</v>
      </c>
      <c r="CX10" s="3">
        <v>1</v>
      </c>
      <c r="CY10" s="3">
        <v>0</v>
      </c>
      <c r="CZ10" s="3">
        <v>0</v>
      </c>
      <c r="DA10" s="3">
        <v>1</v>
      </c>
      <c r="DB10" s="3">
        <v>2</v>
      </c>
      <c r="DC10" s="3">
        <v>0</v>
      </c>
      <c r="DD10" s="3">
        <v>1</v>
      </c>
      <c r="DE10" s="3">
        <v>0</v>
      </c>
      <c r="DF10" s="3">
        <v>1</v>
      </c>
      <c r="DG10" s="3">
        <v>1</v>
      </c>
      <c r="DH10" s="3">
        <v>0</v>
      </c>
      <c r="DI10" s="3">
        <v>1</v>
      </c>
      <c r="DJ10" s="3" t="s">
        <v>201</v>
      </c>
      <c r="DK10" s="3" t="s">
        <v>201</v>
      </c>
      <c r="DL10" s="3" t="s">
        <v>201</v>
      </c>
      <c r="DM10" s="3" t="s">
        <v>201</v>
      </c>
      <c r="DN10" s="3" t="s">
        <v>201</v>
      </c>
      <c r="DO10" s="3" t="s">
        <v>201</v>
      </c>
      <c r="DP10" s="3" t="s">
        <v>201</v>
      </c>
      <c r="DQ10" s="3" t="s">
        <v>201</v>
      </c>
      <c r="DR10">
        <f t="shared" si="0"/>
        <v>2015</v>
      </c>
    </row>
    <row r="11" spans="1:123" x14ac:dyDescent="0.35">
      <c r="A11" s="1">
        <f t="shared" si="1"/>
        <v>42278</v>
      </c>
      <c r="B11" s="2">
        <v>60</v>
      </c>
      <c r="C11" s="2">
        <v>98</v>
      </c>
      <c r="D11" s="2">
        <v>50</v>
      </c>
      <c r="E11" s="2">
        <v>69</v>
      </c>
      <c r="F11" s="2">
        <v>55</v>
      </c>
      <c r="G11" s="2">
        <v>44</v>
      </c>
      <c r="H11" s="2">
        <v>40</v>
      </c>
      <c r="I11" s="2">
        <v>33</v>
      </c>
      <c r="J11" s="2">
        <v>33</v>
      </c>
      <c r="K11" s="2">
        <v>30</v>
      </c>
      <c r="L11" s="2">
        <v>23</v>
      </c>
      <c r="M11" s="2">
        <v>24</v>
      </c>
      <c r="N11" s="3">
        <v>28</v>
      </c>
      <c r="O11" s="3">
        <v>20</v>
      </c>
      <c r="P11" s="3">
        <v>15</v>
      </c>
      <c r="Q11" s="3">
        <v>22</v>
      </c>
      <c r="R11" s="3">
        <v>16</v>
      </c>
      <c r="S11" s="3">
        <v>12</v>
      </c>
      <c r="T11" s="3">
        <v>10</v>
      </c>
      <c r="U11" s="3">
        <v>9</v>
      </c>
      <c r="V11" s="3">
        <v>13</v>
      </c>
      <c r="W11" s="3">
        <v>13</v>
      </c>
      <c r="X11" s="3">
        <v>5</v>
      </c>
      <c r="Y11" s="3">
        <v>7</v>
      </c>
      <c r="Z11" s="3">
        <v>7</v>
      </c>
      <c r="AA11" s="3">
        <v>5</v>
      </c>
      <c r="AB11" s="3">
        <v>10</v>
      </c>
      <c r="AC11" s="3">
        <v>13</v>
      </c>
      <c r="AD11" s="3">
        <v>7</v>
      </c>
      <c r="AE11" s="3">
        <v>9</v>
      </c>
      <c r="AF11" s="3">
        <v>4</v>
      </c>
      <c r="AG11" s="3">
        <v>5</v>
      </c>
      <c r="AH11" s="3">
        <v>7</v>
      </c>
      <c r="AI11" s="3">
        <v>7</v>
      </c>
      <c r="AJ11" s="3">
        <v>8</v>
      </c>
      <c r="AK11" s="3">
        <v>2</v>
      </c>
      <c r="AL11" s="3">
        <v>5</v>
      </c>
      <c r="AM11" s="3">
        <v>6</v>
      </c>
      <c r="AN11" s="3">
        <v>6</v>
      </c>
      <c r="AO11" s="3">
        <v>6</v>
      </c>
      <c r="AP11" s="3">
        <v>1</v>
      </c>
      <c r="AQ11" s="3">
        <v>2</v>
      </c>
      <c r="AR11" s="3">
        <v>5</v>
      </c>
      <c r="AS11" s="3">
        <v>2</v>
      </c>
      <c r="AT11" s="3">
        <v>1</v>
      </c>
      <c r="AU11" s="3">
        <v>4</v>
      </c>
      <c r="AV11" s="3">
        <v>1</v>
      </c>
      <c r="AW11" s="3">
        <v>3</v>
      </c>
      <c r="AX11" s="3">
        <v>7</v>
      </c>
      <c r="AY11" s="3">
        <v>6</v>
      </c>
      <c r="AZ11" s="3">
        <v>4</v>
      </c>
      <c r="BA11" s="3">
        <v>1</v>
      </c>
      <c r="BB11" s="3">
        <v>4</v>
      </c>
      <c r="BC11" s="3">
        <v>6</v>
      </c>
      <c r="BD11" s="3">
        <v>2</v>
      </c>
      <c r="BE11" s="3">
        <v>4</v>
      </c>
      <c r="BF11" s="3">
        <v>4</v>
      </c>
      <c r="BG11" s="3">
        <v>4</v>
      </c>
      <c r="BH11" s="3">
        <v>0</v>
      </c>
      <c r="BI11" s="3">
        <v>3</v>
      </c>
      <c r="BJ11" s="3">
        <v>2</v>
      </c>
      <c r="BK11" s="3">
        <v>3</v>
      </c>
      <c r="BL11" s="3">
        <v>5</v>
      </c>
      <c r="BM11" s="3">
        <v>2</v>
      </c>
      <c r="BN11" s="3">
        <v>2</v>
      </c>
      <c r="BO11" s="3">
        <v>2</v>
      </c>
      <c r="BP11" s="3">
        <v>3</v>
      </c>
      <c r="BQ11" s="3">
        <v>0</v>
      </c>
      <c r="BR11" s="3">
        <v>2</v>
      </c>
      <c r="BS11" s="3">
        <v>2</v>
      </c>
      <c r="BT11" s="3">
        <v>3</v>
      </c>
      <c r="BU11" s="3">
        <v>2</v>
      </c>
      <c r="BV11" s="3">
        <v>1</v>
      </c>
      <c r="BW11" s="3">
        <v>5</v>
      </c>
      <c r="BX11" s="3">
        <v>2</v>
      </c>
      <c r="BY11" s="3">
        <v>2</v>
      </c>
      <c r="BZ11" s="3">
        <v>2</v>
      </c>
      <c r="CA11" s="3">
        <v>0</v>
      </c>
      <c r="CB11" s="3">
        <v>1</v>
      </c>
      <c r="CC11" s="3">
        <v>3</v>
      </c>
      <c r="CD11" s="3">
        <v>1</v>
      </c>
      <c r="CE11" s="3">
        <v>1</v>
      </c>
      <c r="CF11" s="3">
        <v>0</v>
      </c>
      <c r="CG11" s="3">
        <v>1</v>
      </c>
      <c r="CH11" s="3">
        <v>1</v>
      </c>
      <c r="CI11" s="3">
        <v>0</v>
      </c>
      <c r="CJ11" s="3">
        <v>0</v>
      </c>
      <c r="CK11" s="3">
        <v>1</v>
      </c>
      <c r="CL11" s="3">
        <v>1</v>
      </c>
      <c r="CM11" s="3">
        <v>0</v>
      </c>
      <c r="CN11" s="3">
        <v>1</v>
      </c>
      <c r="CO11" s="3">
        <v>0</v>
      </c>
      <c r="CP11" s="3">
        <v>3</v>
      </c>
      <c r="CQ11" s="3">
        <v>1</v>
      </c>
      <c r="CR11" s="3">
        <v>1</v>
      </c>
      <c r="CS11" s="3">
        <v>1</v>
      </c>
      <c r="CT11" s="3">
        <v>0</v>
      </c>
      <c r="CU11" s="3">
        <v>0</v>
      </c>
      <c r="CV11" s="3">
        <v>0</v>
      </c>
      <c r="CW11" s="3">
        <v>2</v>
      </c>
      <c r="CX11" s="3">
        <v>0</v>
      </c>
      <c r="CY11" s="3">
        <v>1</v>
      </c>
      <c r="CZ11" s="3">
        <v>2</v>
      </c>
      <c r="DA11" s="3">
        <v>1</v>
      </c>
      <c r="DB11" s="3">
        <v>1</v>
      </c>
      <c r="DC11" s="3">
        <v>1</v>
      </c>
      <c r="DD11" s="3">
        <v>0</v>
      </c>
      <c r="DE11" s="3">
        <v>1</v>
      </c>
      <c r="DF11" s="3">
        <v>3</v>
      </c>
      <c r="DG11" s="3">
        <v>1</v>
      </c>
      <c r="DH11" s="3">
        <v>0</v>
      </c>
      <c r="DI11" s="3" t="s">
        <v>201</v>
      </c>
      <c r="DJ11" s="3" t="s">
        <v>201</v>
      </c>
      <c r="DK11" s="3" t="s">
        <v>201</v>
      </c>
      <c r="DL11" s="3" t="s">
        <v>201</v>
      </c>
      <c r="DM11" s="3" t="s">
        <v>201</v>
      </c>
      <c r="DN11" s="3" t="s">
        <v>201</v>
      </c>
      <c r="DO11" s="3" t="s">
        <v>201</v>
      </c>
      <c r="DP11" s="3" t="s">
        <v>201</v>
      </c>
      <c r="DQ11" s="3" t="s">
        <v>201</v>
      </c>
      <c r="DR11">
        <f t="shared" si="0"/>
        <v>2015</v>
      </c>
    </row>
    <row r="12" spans="1:123" x14ac:dyDescent="0.35">
      <c r="A12" s="1">
        <f t="shared" si="1"/>
        <v>42309</v>
      </c>
      <c r="B12" s="2">
        <v>45</v>
      </c>
      <c r="C12" s="2">
        <v>107</v>
      </c>
      <c r="D12" s="2">
        <v>62</v>
      </c>
      <c r="E12" s="2">
        <v>61</v>
      </c>
      <c r="F12" s="2">
        <v>44</v>
      </c>
      <c r="G12" s="2">
        <v>33</v>
      </c>
      <c r="H12" s="2">
        <v>36</v>
      </c>
      <c r="I12" s="2">
        <v>31</v>
      </c>
      <c r="J12" s="2">
        <v>29</v>
      </c>
      <c r="K12" s="2">
        <v>10</v>
      </c>
      <c r="L12" s="2">
        <v>9</v>
      </c>
      <c r="M12" s="2">
        <v>25</v>
      </c>
      <c r="N12" s="3">
        <v>14</v>
      </c>
      <c r="O12" s="3">
        <v>20</v>
      </c>
      <c r="P12" s="3">
        <v>19</v>
      </c>
      <c r="Q12" s="3">
        <v>21</v>
      </c>
      <c r="R12" s="3">
        <v>15</v>
      </c>
      <c r="S12" s="3">
        <v>11</v>
      </c>
      <c r="T12" s="3">
        <v>14</v>
      </c>
      <c r="U12" s="3">
        <v>11</v>
      </c>
      <c r="V12" s="3">
        <v>5</v>
      </c>
      <c r="W12" s="3">
        <v>12</v>
      </c>
      <c r="X12" s="3">
        <v>12</v>
      </c>
      <c r="Y12" s="3">
        <v>8</v>
      </c>
      <c r="Z12" s="3">
        <v>6</v>
      </c>
      <c r="AA12" s="3">
        <v>11</v>
      </c>
      <c r="AB12" s="3">
        <v>4</v>
      </c>
      <c r="AC12" s="3">
        <v>13</v>
      </c>
      <c r="AD12" s="3">
        <v>7</v>
      </c>
      <c r="AE12" s="3">
        <v>4</v>
      </c>
      <c r="AF12" s="3">
        <v>2</v>
      </c>
      <c r="AG12" s="3">
        <v>6</v>
      </c>
      <c r="AH12" s="3">
        <v>4</v>
      </c>
      <c r="AI12" s="3">
        <v>5</v>
      </c>
      <c r="AJ12" s="3">
        <v>6</v>
      </c>
      <c r="AK12" s="3">
        <v>2</v>
      </c>
      <c r="AL12" s="3">
        <v>9</v>
      </c>
      <c r="AM12" s="3">
        <v>6</v>
      </c>
      <c r="AN12" s="3">
        <v>7</v>
      </c>
      <c r="AO12" s="3">
        <v>2</v>
      </c>
      <c r="AP12" s="3">
        <v>1</v>
      </c>
      <c r="AQ12" s="3">
        <v>4</v>
      </c>
      <c r="AR12" s="3">
        <v>4</v>
      </c>
      <c r="AS12" s="3">
        <v>6</v>
      </c>
      <c r="AT12" s="3">
        <v>2</v>
      </c>
      <c r="AU12" s="3">
        <v>7</v>
      </c>
      <c r="AV12" s="3">
        <v>5</v>
      </c>
      <c r="AW12" s="3">
        <v>7</v>
      </c>
      <c r="AX12" s="3">
        <v>3</v>
      </c>
      <c r="AY12" s="3">
        <v>1</v>
      </c>
      <c r="AZ12" s="3">
        <v>4</v>
      </c>
      <c r="BA12" s="3">
        <v>2</v>
      </c>
      <c r="BB12" s="3">
        <v>4</v>
      </c>
      <c r="BC12" s="3">
        <v>1</v>
      </c>
      <c r="BD12" s="3">
        <v>2</v>
      </c>
      <c r="BE12" s="3">
        <v>1</v>
      </c>
      <c r="BF12" s="3">
        <v>3</v>
      </c>
      <c r="BG12" s="3">
        <v>5</v>
      </c>
      <c r="BH12" s="3">
        <v>1</v>
      </c>
      <c r="BI12" s="3">
        <v>2</v>
      </c>
      <c r="BJ12" s="3">
        <v>3</v>
      </c>
      <c r="BK12" s="3">
        <v>2</v>
      </c>
      <c r="BL12" s="3">
        <v>1</v>
      </c>
      <c r="BM12" s="3">
        <v>3</v>
      </c>
      <c r="BN12" s="3">
        <v>0</v>
      </c>
      <c r="BO12" s="3">
        <v>2</v>
      </c>
      <c r="BP12" s="3">
        <v>3</v>
      </c>
      <c r="BQ12" s="3">
        <v>3</v>
      </c>
      <c r="BR12" s="3">
        <v>1</v>
      </c>
      <c r="BS12" s="3">
        <v>1</v>
      </c>
      <c r="BT12" s="3">
        <v>0</v>
      </c>
      <c r="BU12" s="3">
        <v>2</v>
      </c>
      <c r="BV12" s="3">
        <v>2</v>
      </c>
      <c r="BW12" s="3">
        <v>1</v>
      </c>
      <c r="BX12" s="3">
        <v>0</v>
      </c>
      <c r="BY12" s="3">
        <v>0</v>
      </c>
      <c r="BZ12" s="3">
        <v>2</v>
      </c>
      <c r="CA12" s="3">
        <v>1</v>
      </c>
      <c r="CB12" s="3">
        <v>1</v>
      </c>
      <c r="CC12" s="3">
        <v>3</v>
      </c>
      <c r="CD12" s="3">
        <v>3</v>
      </c>
      <c r="CE12" s="3">
        <v>1</v>
      </c>
      <c r="CF12" s="3">
        <v>1</v>
      </c>
      <c r="CG12" s="3">
        <v>1</v>
      </c>
      <c r="CH12" s="3">
        <v>2</v>
      </c>
      <c r="CI12" s="3">
        <v>1</v>
      </c>
      <c r="CJ12" s="3">
        <v>0</v>
      </c>
      <c r="CK12" s="3">
        <v>2</v>
      </c>
      <c r="CL12" s="3">
        <v>2</v>
      </c>
      <c r="CM12" s="3">
        <v>3</v>
      </c>
      <c r="CN12" s="3">
        <v>0</v>
      </c>
      <c r="CO12" s="3">
        <v>1</v>
      </c>
      <c r="CP12" s="3">
        <v>0</v>
      </c>
      <c r="CQ12" s="3">
        <v>0</v>
      </c>
      <c r="CR12" s="3">
        <v>1</v>
      </c>
      <c r="CS12" s="3">
        <v>2</v>
      </c>
      <c r="CT12" s="3">
        <v>2</v>
      </c>
      <c r="CU12" s="3">
        <v>1</v>
      </c>
      <c r="CV12" s="3">
        <v>2</v>
      </c>
      <c r="CW12" s="3">
        <v>2</v>
      </c>
      <c r="CX12" s="3">
        <v>1</v>
      </c>
      <c r="CY12" s="3">
        <v>0</v>
      </c>
      <c r="CZ12" s="3">
        <v>2</v>
      </c>
      <c r="DA12" s="3">
        <v>0</v>
      </c>
      <c r="DB12" s="3">
        <v>1</v>
      </c>
      <c r="DC12" s="3">
        <v>2</v>
      </c>
      <c r="DD12" s="3">
        <v>2</v>
      </c>
      <c r="DE12" s="3">
        <v>0</v>
      </c>
      <c r="DF12" s="3">
        <v>0</v>
      </c>
      <c r="DG12" s="3">
        <v>0</v>
      </c>
      <c r="DH12" s="3" t="s">
        <v>201</v>
      </c>
      <c r="DI12" s="3" t="s">
        <v>201</v>
      </c>
      <c r="DJ12" s="3" t="s">
        <v>201</v>
      </c>
      <c r="DK12" s="3" t="s">
        <v>201</v>
      </c>
      <c r="DL12" s="3" t="s">
        <v>201</v>
      </c>
      <c r="DM12" s="3" t="s">
        <v>201</v>
      </c>
      <c r="DN12" s="3" t="s">
        <v>201</v>
      </c>
      <c r="DO12" s="3" t="s">
        <v>201</v>
      </c>
      <c r="DP12" s="3" t="s">
        <v>201</v>
      </c>
      <c r="DQ12" s="3" t="s">
        <v>201</v>
      </c>
      <c r="DR12">
        <f t="shared" si="0"/>
        <v>2015</v>
      </c>
    </row>
    <row r="13" spans="1:123" x14ac:dyDescent="0.35">
      <c r="A13" s="1">
        <f t="shared" si="1"/>
        <v>42339</v>
      </c>
      <c r="B13" s="2">
        <v>60</v>
      </c>
      <c r="C13" s="2">
        <v>78</v>
      </c>
      <c r="D13" s="2">
        <v>57</v>
      </c>
      <c r="E13" s="2">
        <v>55</v>
      </c>
      <c r="F13" s="2">
        <v>56</v>
      </c>
      <c r="G13" s="2">
        <v>32</v>
      </c>
      <c r="H13" s="2">
        <v>27</v>
      </c>
      <c r="I13" s="2">
        <v>30</v>
      </c>
      <c r="J13" s="2">
        <v>22</v>
      </c>
      <c r="K13" s="2">
        <v>28</v>
      </c>
      <c r="L13" s="2">
        <v>22</v>
      </c>
      <c r="M13" s="2">
        <v>20</v>
      </c>
      <c r="N13" s="3">
        <v>29</v>
      </c>
      <c r="O13" s="3">
        <v>20</v>
      </c>
      <c r="P13" s="3">
        <v>13</v>
      </c>
      <c r="Q13" s="3">
        <v>13</v>
      </c>
      <c r="R13" s="3">
        <v>14</v>
      </c>
      <c r="S13" s="3">
        <v>6</v>
      </c>
      <c r="T13" s="3">
        <v>5</v>
      </c>
      <c r="U13" s="3">
        <v>8</v>
      </c>
      <c r="V13" s="3">
        <v>8</v>
      </c>
      <c r="W13" s="3">
        <v>9</v>
      </c>
      <c r="X13" s="3">
        <v>7</v>
      </c>
      <c r="Y13" s="3">
        <v>8</v>
      </c>
      <c r="Z13" s="3">
        <v>6</v>
      </c>
      <c r="AA13" s="3">
        <v>7</v>
      </c>
      <c r="AB13" s="3">
        <v>4</v>
      </c>
      <c r="AC13" s="3">
        <v>4</v>
      </c>
      <c r="AD13" s="3">
        <v>10</v>
      </c>
      <c r="AE13" s="3">
        <v>3</v>
      </c>
      <c r="AF13" s="3">
        <v>9</v>
      </c>
      <c r="AG13" s="3">
        <v>3</v>
      </c>
      <c r="AH13" s="3">
        <v>7</v>
      </c>
      <c r="AI13" s="3">
        <v>8</v>
      </c>
      <c r="AJ13" s="3">
        <v>6</v>
      </c>
      <c r="AK13" s="3">
        <v>2</v>
      </c>
      <c r="AL13" s="3">
        <v>3</v>
      </c>
      <c r="AM13" s="3">
        <v>6</v>
      </c>
      <c r="AN13" s="3">
        <v>6</v>
      </c>
      <c r="AO13" s="3">
        <v>3</v>
      </c>
      <c r="AP13" s="3">
        <v>1</v>
      </c>
      <c r="AQ13" s="3">
        <v>3</v>
      </c>
      <c r="AR13" s="3">
        <v>3</v>
      </c>
      <c r="AS13" s="3">
        <v>2</v>
      </c>
      <c r="AT13" s="3">
        <v>2</v>
      </c>
      <c r="AU13" s="3">
        <v>5</v>
      </c>
      <c r="AV13" s="3">
        <v>2</v>
      </c>
      <c r="AW13" s="3">
        <v>6</v>
      </c>
      <c r="AX13" s="3">
        <v>4</v>
      </c>
      <c r="AY13" s="3">
        <v>2</v>
      </c>
      <c r="AZ13" s="3">
        <v>4</v>
      </c>
      <c r="BA13" s="3">
        <v>2</v>
      </c>
      <c r="BB13" s="3">
        <v>7</v>
      </c>
      <c r="BC13" s="3">
        <v>1</v>
      </c>
      <c r="BD13" s="3">
        <v>0</v>
      </c>
      <c r="BE13" s="3">
        <v>5</v>
      </c>
      <c r="BF13" s="3">
        <v>3</v>
      </c>
      <c r="BG13" s="3">
        <v>1</v>
      </c>
      <c r="BH13" s="3">
        <v>0</v>
      </c>
      <c r="BI13" s="3">
        <v>1</v>
      </c>
      <c r="BJ13" s="3">
        <v>0</v>
      </c>
      <c r="BK13" s="3">
        <v>0</v>
      </c>
      <c r="BL13" s="3">
        <v>5</v>
      </c>
      <c r="BM13" s="3">
        <v>0</v>
      </c>
      <c r="BN13" s="3">
        <v>4</v>
      </c>
      <c r="BO13" s="3">
        <v>0</v>
      </c>
      <c r="BP13" s="3">
        <v>2</v>
      </c>
      <c r="BQ13" s="3">
        <v>0</v>
      </c>
      <c r="BR13" s="3">
        <v>0</v>
      </c>
      <c r="BS13" s="3">
        <v>3</v>
      </c>
      <c r="BT13" s="3">
        <v>3</v>
      </c>
      <c r="BU13" s="3">
        <v>1</v>
      </c>
      <c r="BV13" s="3">
        <v>1</v>
      </c>
      <c r="BW13" s="3">
        <v>0</v>
      </c>
      <c r="BX13" s="3">
        <v>2</v>
      </c>
      <c r="BY13" s="3">
        <v>5</v>
      </c>
      <c r="BZ13" s="3">
        <v>1</v>
      </c>
      <c r="CA13" s="3">
        <v>0</v>
      </c>
      <c r="CB13" s="3">
        <v>3</v>
      </c>
      <c r="CC13" s="3">
        <v>1</v>
      </c>
      <c r="CD13" s="3">
        <v>0</v>
      </c>
      <c r="CE13" s="3">
        <v>1</v>
      </c>
      <c r="CF13" s="3">
        <v>1</v>
      </c>
      <c r="CG13" s="3">
        <v>2</v>
      </c>
      <c r="CH13" s="3">
        <v>0</v>
      </c>
      <c r="CI13" s="3">
        <v>2</v>
      </c>
      <c r="CJ13" s="3">
        <v>2</v>
      </c>
      <c r="CK13" s="3">
        <v>1</v>
      </c>
      <c r="CL13" s="3">
        <v>0</v>
      </c>
      <c r="CM13" s="3">
        <v>0</v>
      </c>
      <c r="CN13" s="3">
        <v>2</v>
      </c>
      <c r="CO13" s="3">
        <v>0</v>
      </c>
      <c r="CP13" s="3">
        <v>0</v>
      </c>
      <c r="CQ13" s="3">
        <v>2</v>
      </c>
      <c r="CR13" s="3">
        <v>2</v>
      </c>
      <c r="CS13" s="3">
        <v>0</v>
      </c>
      <c r="CT13" s="3">
        <v>2</v>
      </c>
      <c r="CU13" s="3">
        <v>2</v>
      </c>
      <c r="CV13" s="3">
        <v>0</v>
      </c>
      <c r="CW13" s="3">
        <v>0</v>
      </c>
      <c r="CX13" s="3">
        <v>5</v>
      </c>
      <c r="CY13" s="3">
        <v>0</v>
      </c>
      <c r="CZ13" s="3">
        <v>0</v>
      </c>
      <c r="DA13" s="3">
        <v>0</v>
      </c>
      <c r="DB13" s="3">
        <v>1</v>
      </c>
      <c r="DC13" s="3">
        <v>0</v>
      </c>
      <c r="DD13" s="3">
        <v>0</v>
      </c>
      <c r="DE13" s="3">
        <v>2</v>
      </c>
      <c r="DF13" s="3">
        <v>0</v>
      </c>
      <c r="DG13" s="3" t="s">
        <v>201</v>
      </c>
      <c r="DH13" s="3" t="s">
        <v>201</v>
      </c>
      <c r="DI13" s="3" t="s">
        <v>201</v>
      </c>
      <c r="DJ13" s="3" t="s">
        <v>201</v>
      </c>
      <c r="DK13" s="3" t="s">
        <v>201</v>
      </c>
      <c r="DL13" s="3" t="s">
        <v>201</v>
      </c>
      <c r="DM13" s="3" t="s">
        <v>201</v>
      </c>
      <c r="DN13" s="3" t="s">
        <v>201</v>
      </c>
      <c r="DO13" s="3" t="s">
        <v>201</v>
      </c>
      <c r="DP13" s="3" t="s">
        <v>201</v>
      </c>
      <c r="DQ13" s="3" t="s">
        <v>201</v>
      </c>
      <c r="DR13">
        <f t="shared" si="0"/>
        <v>2015</v>
      </c>
    </row>
    <row r="14" spans="1:123" x14ac:dyDescent="0.35">
      <c r="A14" s="4">
        <f>DATE(YEAR(A13),MONTH(A13)+1,DAY(A13))</f>
        <v>42370</v>
      </c>
      <c r="B14" s="5">
        <v>55</v>
      </c>
      <c r="C14" s="5">
        <v>67</v>
      </c>
      <c r="D14" s="5">
        <v>81</v>
      </c>
      <c r="E14" s="5">
        <v>58</v>
      </c>
      <c r="F14" s="5">
        <v>53</v>
      </c>
      <c r="G14" s="5">
        <v>34</v>
      </c>
      <c r="H14" s="5">
        <v>41</v>
      </c>
      <c r="I14" s="5">
        <v>27</v>
      </c>
      <c r="J14" s="5">
        <v>27</v>
      </c>
      <c r="K14" s="5">
        <v>16</v>
      </c>
      <c r="L14" s="5">
        <v>22</v>
      </c>
      <c r="M14" s="5">
        <v>24</v>
      </c>
      <c r="N14" s="5">
        <v>15</v>
      </c>
      <c r="O14" s="5">
        <v>12</v>
      </c>
      <c r="P14" s="5">
        <v>12</v>
      </c>
      <c r="Q14" s="5">
        <v>7</v>
      </c>
      <c r="R14" s="5">
        <v>8</v>
      </c>
      <c r="S14" s="5">
        <v>5</v>
      </c>
      <c r="T14" s="5">
        <v>12</v>
      </c>
      <c r="U14" s="5">
        <v>11</v>
      </c>
      <c r="V14" s="5">
        <v>13</v>
      </c>
      <c r="W14" s="5">
        <v>10</v>
      </c>
      <c r="X14" s="5">
        <v>8</v>
      </c>
      <c r="Y14" s="5">
        <v>8</v>
      </c>
      <c r="Z14" s="5">
        <v>6</v>
      </c>
      <c r="AA14" s="5">
        <v>6</v>
      </c>
      <c r="AB14" s="5">
        <v>5</v>
      </c>
      <c r="AC14" s="5">
        <v>7</v>
      </c>
      <c r="AD14" s="5">
        <v>11</v>
      </c>
      <c r="AE14" s="5">
        <v>8</v>
      </c>
      <c r="AF14" s="5">
        <v>9</v>
      </c>
      <c r="AG14" s="5">
        <v>7</v>
      </c>
      <c r="AH14" s="5">
        <v>5</v>
      </c>
      <c r="AI14" s="5">
        <v>4</v>
      </c>
      <c r="AJ14" s="5">
        <v>4</v>
      </c>
      <c r="AK14" s="5">
        <v>3</v>
      </c>
      <c r="AL14" s="5">
        <v>10</v>
      </c>
      <c r="AM14" s="5">
        <v>3</v>
      </c>
      <c r="AN14" s="5">
        <v>4</v>
      </c>
      <c r="AO14" s="5">
        <v>5</v>
      </c>
      <c r="AP14" s="5">
        <v>3</v>
      </c>
      <c r="AQ14" s="5">
        <v>3</v>
      </c>
      <c r="AR14" s="5">
        <v>2</v>
      </c>
      <c r="AS14" s="5">
        <v>3</v>
      </c>
      <c r="AT14" s="5">
        <v>3</v>
      </c>
      <c r="AU14" s="5">
        <v>1</v>
      </c>
      <c r="AV14" s="5">
        <v>4</v>
      </c>
      <c r="AW14" s="5">
        <v>4</v>
      </c>
      <c r="AX14" s="5">
        <v>5</v>
      </c>
      <c r="AY14" s="5">
        <v>2</v>
      </c>
      <c r="AZ14" s="5">
        <v>8</v>
      </c>
      <c r="BA14" s="5">
        <v>4</v>
      </c>
      <c r="BB14" s="5">
        <v>3</v>
      </c>
      <c r="BC14" s="5">
        <v>5</v>
      </c>
      <c r="BD14" s="5">
        <v>4</v>
      </c>
      <c r="BE14" s="5">
        <v>3</v>
      </c>
      <c r="BF14" s="5">
        <v>1</v>
      </c>
      <c r="BG14" s="5">
        <v>1</v>
      </c>
      <c r="BH14" s="5">
        <v>5</v>
      </c>
      <c r="BI14" s="5">
        <v>2</v>
      </c>
      <c r="BJ14" s="5">
        <v>0</v>
      </c>
      <c r="BK14" s="5">
        <v>2</v>
      </c>
      <c r="BL14" s="5">
        <v>2</v>
      </c>
      <c r="BM14" s="5">
        <v>0</v>
      </c>
      <c r="BN14" s="5">
        <v>2</v>
      </c>
      <c r="BO14" s="5">
        <v>1</v>
      </c>
      <c r="BP14" s="5">
        <v>0</v>
      </c>
      <c r="BQ14" s="5">
        <v>1</v>
      </c>
      <c r="BR14" s="5">
        <v>2</v>
      </c>
      <c r="BS14" s="5">
        <v>0</v>
      </c>
      <c r="BT14" s="5">
        <v>2</v>
      </c>
      <c r="BU14" s="5">
        <v>2</v>
      </c>
      <c r="BV14" s="5">
        <v>1</v>
      </c>
      <c r="BW14" s="5">
        <v>1</v>
      </c>
      <c r="BX14" s="5">
        <v>1</v>
      </c>
      <c r="BY14" s="5">
        <v>5</v>
      </c>
      <c r="BZ14" s="5">
        <v>1</v>
      </c>
      <c r="CA14" s="5">
        <v>0</v>
      </c>
      <c r="CB14" s="5">
        <v>2</v>
      </c>
      <c r="CC14" s="5">
        <v>0</v>
      </c>
      <c r="CD14" s="5">
        <v>1</v>
      </c>
      <c r="CE14" s="5">
        <v>1</v>
      </c>
      <c r="CF14" s="5">
        <v>1</v>
      </c>
      <c r="CG14" s="5">
        <v>1</v>
      </c>
      <c r="CH14" s="5">
        <v>1</v>
      </c>
      <c r="CI14" s="5">
        <v>0</v>
      </c>
      <c r="CJ14" s="5">
        <v>1</v>
      </c>
      <c r="CK14" s="5">
        <v>1</v>
      </c>
      <c r="CL14" s="5">
        <v>0</v>
      </c>
      <c r="CM14" s="5">
        <v>3</v>
      </c>
      <c r="CN14" s="5">
        <v>3</v>
      </c>
      <c r="CO14" s="5">
        <v>1</v>
      </c>
      <c r="CP14" s="5">
        <v>1</v>
      </c>
      <c r="CQ14" s="5">
        <v>1</v>
      </c>
      <c r="CR14" s="5">
        <v>1</v>
      </c>
      <c r="CS14" s="5">
        <v>2</v>
      </c>
      <c r="CT14" s="5">
        <v>3</v>
      </c>
      <c r="CU14" s="5">
        <v>2</v>
      </c>
      <c r="CV14" s="5">
        <v>0</v>
      </c>
      <c r="CW14" s="5">
        <v>0</v>
      </c>
      <c r="CX14" s="5">
        <v>1</v>
      </c>
      <c r="CY14" s="5">
        <v>1</v>
      </c>
      <c r="CZ14" s="5">
        <v>0</v>
      </c>
      <c r="DA14" s="5">
        <v>1</v>
      </c>
      <c r="DB14" s="5">
        <v>1</v>
      </c>
      <c r="DC14" s="5">
        <v>0</v>
      </c>
      <c r="DD14" s="5">
        <v>1</v>
      </c>
      <c r="DE14" s="5">
        <v>1</v>
      </c>
      <c r="DF14" s="5" t="s">
        <v>201</v>
      </c>
      <c r="DG14" s="5" t="s">
        <v>201</v>
      </c>
      <c r="DH14" s="5" t="s">
        <v>201</v>
      </c>
      <c r="DI14" s="5" t="s">
        <v>201</v>
      </c>
      <c r="DJ14" s="5" t="s">
        <v>201</v>
      </c>
      <c r="DK14" s="5" t="s">
        <v>201</v>
      </c>
      <c r="DL14" s="5" t="s">
        <v>201</v>
      </c>
      <c r="DM14" s="5" t="s">
        <v>201</v>
      </c>
      <c r="DN14" s="5" t="s">
        <v>201</v>
      </c>
      <c r="DO14" s="5" t="s">
        <v>201</v>
      </c>
      <c r="DP14" s="5" t="s">
        <v>201</v>
      </c>
      <c r="DQ14" s="5" t="s">
        <v>201</v>
      </c>
      <c r="DR14">
        <f t="shared" si="0"/>
        <v>2016</v>
      </c>
    </row>
    <row r="15" spans="1:123" x14ac:dyDescent="0.35">
      <c r="A15" s="1">
        <f t="shared" si="1"/>
        <v>42401</v>
      </c>
      <c r="B15" s="2">
        <v>48</v>
      </c>
      <c r="C15" s="2">
        <v>85</v>
      </c>
      <c r="D15" s="2">
        <v>75</v>
      </c>
      <c r="E15" s="2">
        <v>76</v>
      </c>
      <c r="F15" s="2">
        <v>53</v>
      </c>
      <c r="G15" s="2">
        <v>57</v>
      </c>
      <c r="H15" s="2">
        <v>28</v>
      </c>
      <c r="I15" s="2">
        <v>36</v>
      </c>
      <c r="J15" s="2">
        <v>29</v>
      </c>
      <c r="K15" s="2">
        <v>25</v>
      </c>
      <c r="L15" s="2">
        <v>32</v>
      </c>
      <c r="M15" s="2">
        <v>18</v>
      </c>
      <c r="N15" s="3">
        <v>21</v>
      </c>
      <c r="O15" s="3">
        <v>20</v>
      </c>
      <c r="P15" s="3">
        <v>10</v>
      </c>
      <c r="Q15" s="3">
        <v>16</v>
      </c>
      <c r="R15" s="3">
        <v>8</v>
      </c>
      <c r="S15" s="3">
        <v>10</v>
      </c>
      <c r="T15" s="3">
        <v>13</v>
      </c>
      <c r="U15" s="3">
        <v>12</v>
      </c>
      <c r="V15" s="3">
        <v>13</v>
      </c>
      <c r="W15" s="3">
        <v>11</v>
      </c>
      <c r="X15" s="3">
        <v>11</v>
      </c>
      <c r="Y15" s="3">
        <v>9</v>
      </c>
      <c r="Z15" s="3">
        <v>9</v>
      </c>
      <c r="AA15" s="3">
        <v>4</v>
      </c>
      <c r="AB15" s="3">
        <v>10</v>
      </c>
      <c r="AC15" s="3">
        <v>11</v>
      </c>
      <c r="AD15" s="3">
        <v>6</v>
      </c>
      <c r="AE15" s="3">
        <v>5</v>
      </c>
      <c r="AF15" s="3">
        <v>8</v>
      </c>
      <c r="AG15" s="3">
        <v>11</v>
      </c>
      <c r="AH15" s="3">
        <v>6</v>
      </c>
      <c r="AI15" s="3">
        <v>2</v>
      </c>
      <c r="AJ15" s="3">
        <v>6</v>
      </c>
      <c r="AK15" s="3">
        <v>5</v>
      </c>
      <c r="AL15" s="3">
        <v>6</v>
      </c>
      <c r="AM15" s="3">
        <v>7</v>
      </c>
      <c r="AN15" s="3">
        <v>2</v>
      </c>
      <c r="AO15" s="3">
        <v>2</v>
      </c>
      <c r="AP15" s="3">
        <v>4</v>
      </c>
      <c r="AQ15" s="3">
        <v>7</v>
      </c>
      <c r="AR15" s="3">
        <v>1</v>
      </c>
      <c r="AS15" s="3">
        <v>6</v>
      </c>
      <c r="AT15" s="3">
        <v>3</v>
      </c>
      <c r="AU15" s="3">
        <v>4</v>
      </c>
      <c r="AV15" s="3">
        <v>4</v>
      </c>
      <c r="AW15" s="3">
        <v>3</v>
      </c>
      <c r="AX15" s="3">
        <v>3</v>
      </c>
      <c r="AY15" s="3">
        <v>4</v>
      </c>
      <c r="AZ15" s="3">
        <v>3</v>
      </c>
      <c r="BA15" s="3">
        <v>2</v>
      </c>
      <c r="BB15" s="3">
        <v>5</v>
      </c>
      <c r="BC15" s="3">
        <v>1</v>
      </c>
      <c r="BD15" s="3">
        <v>4</v>
      </c>
      <c r="BE15" s="3">
        <v>0</v>
      </c>
      <c r="BF15" s="3">
        <v>5</v>
      </c>
      <c r="BG15" s="3">
        <v>4</v>
      </c>
      <c r="BH15" s="3">
        <v>4</v>
      </c>
      <c r="BI15" s="3">
        <v>4</v>
      </c>
      <c r="BJ15" s="3">
        <v>1</v>
      </c>
      <c r="BK15" s="3">
        <v>1</v>
      </c>
      <c r="BL15" s="3">
        <v>3</v>
      </c>
      <c r="BM15" s="3">
        <v>1</v>
      </c>
      <c r="BN15" s="3">
        <v>2</v>
      </c>
      <c r="BO15" s="3">
        <v>5</v>
      </c>
      <c r="BP15" s="3">
        <v>0</v>
      </c>
      <c r="BQ15" s="3">
        <v>2</v>
      </c>
      <c r="BR15" s="3">
        <v>4</v>
      </c>
      <c r="BS15" s="3">
        <v>3</v>
      </c>
      <c r="BT15" s="3">
        <v>1</v>
      </c>
      <c r="BU15" s="3">
        <v>3</v>
      </c>
      <c r="BV15" s="3">
        <v>0</v>
      </c>
      <c r="BW15" s="3">
        <v>2</v>
      </c>
      <c r="BX15" s="3">
        <v>1</v>
      </c>
      <c r="BY15" s="3">
        <v>3</v>
      </c>
      <c r="BZ15" s="3">
        <v>4</v>
      </c>
      <c r="CA15" s="3">
        <v>1</v>
      </c>
      <c r="CB15" s="3">
        <v>2</v>
      </c>
      <c r="CC15" s="3">
        <v>1</v>
      </c>
      <c r="CD15" s="3">
        <v>1</v>
      </c>
      <c r="CE15" s="3">
        <v>3</v>
      </c>
      <c r="CF15" s="3">
        <v>1</v>
      </c>
      <c r="CG15" s="3">
        <v>0</v>
      </c>
      <c r="CH15" s="3">
        <v>0</v>
      </c>
      <c r="CI15" s="3">
        <v>0</v>
      </c>
      <c r="CJ15" s="3">
        <v>2</v>
      </c>
      <c r="CK15" s="3">
        <v>0</v>
      </c>
      <c r="CL15" s="3">
        <v>2</v>
      </c>
      <c r="CM15" s="3">
        <v>0</v>
      </c>
      <c r="CN15" s="3">
        <v>0</v>
      </c>
      <c r="CO15" s="3">
        <v>1</v>
      </c>
      <c r="CP15" s="3">
        <v>1</v>
      </c>
      <c r="CQ15" s="3">
        <v>1</v>
      </c>
      <c r="CR15" s="3">
        <v>0</v>
      </c>
      <c r="CS15" s="3">
        <v>2</v>
      </c>
      <c r="CT15" s="3">
        <v>3</v>
      </c>
      <c r="CU15" s="3">
        <v>1</v>
      </c>
      <c r="CV15" s="3">
        <v>0</v>
      </c>
      <c r="CW15" s="3">
        <v>1</v>
      </c>
      <c r="CX15" s="3">
        <v>1</v>
      </c>
      <c r="CY15" s="3">
        <v>3</v>
      </c>
      <c r="CZ15" s="3">
        <v>0</v>
      </c>
      <c r="DA15" s="3">
        <v>0</v>
      </c>
      <c r="DB15" s="3">
        <v>0</v>
      </c>
      <c r="DC15" s="3">
        <v>0</v>
      </c>
      <c r="DD15" s="3">
        <v>0</v>
      </c>
      <c r="DE15" s="3" t="s">
        <v>201</v>
      </c>
      <c r="DF15" s="3" t="s">
        <v>201</v>
      </c>
      <c r="DG15" s="3" t="s">
        <v>201</v>
      </c>
      <c r="DH15" s="3" t="s">
        <v>201</v>
      </c>
      <c r="DI15" s="3" t="s">
        <v>201</v>
      </c>
      <c r="DJ15" s="3" t="s">
        <v>201</v>
      </c>
      <c r="DK15" s="3" t="s">
        <v>201</v>
      </c>
      <c r="DL15" s="3" t="s">
        <v>201</v>
      </c>
      <c r="DM15" s="3" t="s">
        <v>201</v>
      </c>
      <c r="DN15" s="3" t="s">
        <v>201</v>
      </c>
      <c r="DO15" s="3" t="s">
        <v>201</v>
      </c>
      <c r="DP15" s="3" t="s">
        <v>201</v>
      </c>
      <c r="DQ15" s="3" t="s">
        <v>201</v>
      </c>
      <c r="DR15">
        <f t="shared" si="0"/>
        <v>2016</v>
      </c>
    </row>
    <row r="16" spans="1:123" x14ac:dyDescent="0.35">
      <c r="A16" s="1">
        <f t="shared" si="1"/>
        <v>42430</v>
      </c>
      <c r="B16" s="2">
        <v>61</v>
      </c>
      <c r="C16" s="2">
        <v>96</v>
      </c>
      <c r="D16" s="2">
        <v>63</v>
      </c>
      <c r="E16" s="2">
        <v>64</v>
      </c>
      <c r="F16" s="2">
        <v>49</v>
      </c>
      <c r="G16" s="2">
        <v>50</v>
      </c>
      <c r="H16" s="2">
        <v>44</v>
      </c>
      <c r="I16" s="2">
        <v>21</v>
      </c>
      <c r="J16" s="2">
        <v>24</v>
      </c>
      <c r="K16" s="2">
        <v>31</v>
      </c>
      <c r="L16" s="2">
        <v>27</v>
      </c>
      <c r="M16" s="2">
        <v>17</v>
      </c>
      <c r="N16" s="3">
        <v>22</v>
      </c>
      <c r="O16" s="3">
        <v>20</v>
      </c>
      <c r="P16" s="3">
        <v>16</v>
      </c>
      <c r="Q16" s="3">
        <v>14</v>
      </c>
      <c r="R16" s="3">
        <v>14</v>
      </c>
      <c r="S16" s="3">
        <v>12</v>
      </c>
      <c r="T16" s="3">
        <v>8</v>
      </c>
      <c r="U16" s="3">
        <v>15</v>
      </c>
      <c r="V16" s="3">
        <v>10</v>
      </c>
      <c r="W16" s="3">
        <v>9</v>
      </c>
      <c r="X16" s="3">
        <v>16</v>
      </c>
      <c r="Y16" s="3">
        <v>13</v>
      </c>
      <c r="Z16" s="3">
        <v>11</v>
      </c>
      <c r="AA16" s="3">
        <v>7</v>
      </c>
      <c r="AB16" s="3">
        <v>2</v>
      </c>
      <c r="AC16" s="3">
        <v>9</v>
      </c>
      <c r="AD16" s="3">
        <v>8</v>
      </c>
      <c r="AE16" s="3">
        <v>8</v>
      </c>
      <c r="AF16" s="3">
        <v>5</v>
      </c>
      <c r="AG16" s="3">
        <v>10</v>
      </c>
      <c r="AH16" s="3">
        <v>5</v>
      </c>
      <c r="AI16" s="3">
        <v>8</v>
      </c>
      <c r="AJ16" s="3">
        <v>4</v>
      </c>
      <c r="AK16" s="3">
        <v>3</v>
      </c>
      <c r="AL16" s="3">
        <v>11</v>
      </c>
      <c r="AM16" s="3">
        <v>4</v>
      </c>
      <c r="AN16" s="3">
        <v>5</v>
      </c>
      <c r="AO16" s="3">
        <v>7</v>
      </c>
      <c r="AP16" s="3">
        <v>8</v>
      </c>
      <c r="AQ16" s="3">
        <v>1</v>
      </c>
      <c r="AR16" s="3">
        <v>1</v>
      </c>
      <c r="AS16" s="3">
        <v>3</v>
      </c>
      <c r="AT16" s="3">
        <v>1</v>
      </c>
      <c r="AU16" s="3">
        <v>4</v>
      </c>
      <c r="AV16" s="3">
        <v>2</v>
      </c>
      <c r="AW16" s="3">
        <v>3</v>
      </c>
      <c r="AX16" s="3">
        <v>2</v>
      </c>
      <c r="AY16" s="3">
        <v>2</v>
      </c>
      <c r="AZ16" s="3">
        <v>3</v>
      </c>
      <c r="BA16" s="3">
        <v>5</v>
      </c>
      <c r="BB16" s="3">
        <v>2</v>
      </c>
      <c r="BC16" s="3">
        <v>2</v>
      </c>
      <c r="BD16" s="3">
        <v>4</v>
      </c>
      <c r="BE16" s="3">
        <v>4</v>
      </c>
      <c r="BF16" s="3">
        <v>0</v>
      </c>
      <c r="BG16" s="3">
        <v>2</v>
      </c>
      <c r="BH16" s="3">
        <v>2</v>
      </c>
      <c r="BI16" s="3">
        <v>3</v>
      </c>
      <c r="BJ16" s="3">
        <v>1</v>
      </c>
      <c r="BK16" s="3">
        <v>1</v>
      </c>
      <c r="BL16" s="3">
        <v>1</v>
      </c>
      <c r="BM16" s="3">
        <v>1</v>
      </c>
      <c r="BN16" s="3">
        <v>1</v>
      </c>
      <c r="BO16" s="3">
        <v>2</v>
      </c>
      <c r="BP16" s="3">
        <v>2</v>
      </c>
      <c r="BQ16" s="3">
        <v>3</v>
      </c>
      <c r="BR16" s="3">
        <v>2</v>
      </c>
      <c r="BS16" s="3">
        <v>3</v>
      </c>
      <c r="BT16" s="3">
        <v>0</v>
      </c>
      <c r="BU16" s="3">
        <v>4</v>
      </c>
      <c r="BV16" s="3">
        <v>1</v>
      </c>
      <c r="BW16" s="3">
        <v>2</v>
      </c>
      <c r="BX16" s="3">
        <v>3</v>
      </c>
      <c r="BY16" s="3">
        <v>0</v>
      </c>
      <c r="BZ16" s="3">
        <v>2</v>
      </c>
      <c r="CA16" s="3">
        <v>0</v>
      </c>
      <c r="CB16" s="3">
        <v>0</v>
      </c>
      <c r="CC16" s="3">
        <v>1</v>
      </c>
      <c r="CD16" s="3">
        <v>2</v>
      </c>
      <c r="CE16" s="3">
        <v>1</v>
      </c>
      <c r="CF16" s="3">
        <v>1</v>
      </c>
      <c r="CG16" s="3">
        <v>0</v>
      </c>
      <c r="CH16" s="3">
        <v>0</v>
      </c>
      <c r="CI16" s="3">
        <v>1</v>
      </c>
      <c r="CJ16" s="3">
        <v>3</v>
      </c>
      <c r="CK16" s="3">
        <v>1</v>
      </c>
      <c r="CL16" s="3">
        <v>1</v>
      </c>
      <c r="CM16" s="3">
        <v>0</v>
      </c>
      <c r="CN16" s="3">
        <v>1</v>
      </c>
      <c r="CO16" s="3">
        <v>2</v>
      </c>
      <c r="CP16" s="3">
        <v>3</v>
      </c>
      <c r="CQ16" s="3">
        <v>0</v>
      </c>
      <c r="CR16" s="3">
        <v>0</v>
      </c>
      <c r="CS16" s="3">
        <v>3</v>
      </c>
      <c r="CT16" s="3">
        <v>0</v>
      </c>
      <c r="CU16" s="3">
        <v>1</v>
      </c>
      <c r="CV16" s="3">
        <v>3</v>
      </c>
      <c r="CW16" s="3">
        <v>0</v>
      </c>
      <c r="CX16" s="3">
        <v>1</v>
      </c>
      <c r="CY16" s="3">
        <v>0</v>
      </c>
      <c r="CZ16" s="3">
        <v>2</v>
      </c>
      <c r="DA16" s="3">
        <v>0</v>
      </c>
      <c r="DB16" s="3">
        <v>0</v>
      </c>
      <c r="DC16" s="3">
        <v>0</v>
      </c>
      <c r="DD16" s="3" t="s">
        <v>201</v>
      </c>
      <c r="DE16" s="3" t="s">
        <v>201</v>
      </c>
      <c r="DF16" s="3" t="s">
        <v>201</v>
      </c>
      <c r="DG16" s="3" t="s">
        <v>201</v>
      </c>
      <c r="DH16" s="3" t="s">
        <v>201</v>
      </c>
      <c r="DI16" s="3" t="s">
        <v>201</v>
      </c>
      <c r="DJ16" s="3" t="s">
        <v>201</v>
      </c>
      <c r="DK16" s="3" t="s">
        <v>201</v>
      </c>
      <c r="DL16" s="3" t="s">
        <v>201</v>
      </c>
      <c r="DM16" s="3" t="s">
        <v>201</v>
      </c>
      <c r="DN16" s="3" t="s">
        <v>201</v>
      </c>
      <c r="DO16" s="3" t="s">
        <v>201</v>
      </c>
      <c r="DP16" s="3" t="s">
        <v>201</v>
      </c>
      <c r="DQ16" s="3" t="s">
        <v>201</v>
      </c>
      <c r="DR16">
        <f t="shared" si="0"/>
        <v>2016</v>
      </c>
    </row>
    <row r="17" spans="1:122" x14ac:dyDescent="0.35">
      <c r="A17" s="1">
        <f t="shared" si="1"/>
        <v>42461</v>
      </c>
      <c r="B17" s="2">
        <v>73</v>
      </c>
      <c r="C17" s="2">
        <v>106</v>
      </c>
      <c r="D17" s="2">
        <v>68</v>
      </c>
      <c r="E17" s="2">
        <v>78</v>
      </c>
      <c r="F17" s="2">
        <v>49</v>
      </c>
      <c r="G17" s="2">
        <v>37</v>
      </c>
      <c r="H17" s="2">
        <v>44</v>
      </c>
      <c r="I17" s="2">
        <v>41</v>
      </c>
      <c r="J17" s="2">
        <v>24</v>
      </c>
      <c r="K17" s="2">
        <v>26</v>
      </c>
      <c r="L17" s="2">
        <v>26</v>
      </c>
      <c r="M17" s="2">
        <v>29</v>
      </c>
      <c r="N17" s="3">
        <v>19</v>
      </c>
      <c r="O17" s="3">
        <v>19</v>
      </c>
      <c r="P17" s="3">
        <v>7</v>
      </c>
      <c r="Q17" s="3">
        <v>13</v>
      </c>
      <c r="R17" s="3">
        <v>13</v>
      </c>
      <c r="S17" s="3">
        <v>17</v>
      </c>
      <c r="T17" s="3">
        <v>15</v>
      </c>
      <c r="U17" s="3">
        <v>12</v>
      </c>
      <c r="V17" s="3">
        <v>11</v>
      </c>
      <c r="W17" s="3">
        <v>7</v>
      </c>
      <c r="X17" s="3">
        <v>7</v>
      </c>
      <c r="Y17" s="3">
        <v>15</v>
      </c>
      <c r="Z17" s="3">
        <v>13</v>
      </c>
      <c r="AA17" s="3">
        <v>8</v>
      </c>
      <c r="AB17" s="3">
        <v>7</v>
      </c>
      <c r="AC17" s="3">
        <v>5</v>
      </c>
      <c r="AD17" s="3">
        <v>6</v>
      </c>
      <c r="AE17" s="3">
        <v>7</v>
      </c>
      <c r="AF17" s="3">
        <v>10</v>
      </c>
      <c r="AG17" s="3">
        <v>6</v>
      </c>
      <c r="AH17" s="3">
        <v>5</v>
      </c>
      <c r="AI17" s="3">
        <v>5</v>
      </c>
      <c r="AJ17" s="3">
        <v>1</v>
      </c>
      <c r="AK17" s="3">
        <v>5</v>
      </c>
      <c r="AL17" s="3">
        <v>4</v>
      </c>
      <c r="AM17" s="3">
        <v>7</v>
      </c>
      <c r="AN17" s="3">
        <v>7</v>
      </c>
      <c r="AO17" s="3">
        <v>3</v>
      </c>
      <c r="AP17" s="3">
        <v>4</v>
      </c>
      <c r="AQ17" s="3">
        <v>6</v>
      </c>
      <c r="AR17" s="3">
        <v>5</v>
      </c>
      <c r="AS17" s="3">
        <v>6</v>
      </c>
      <c r="AT17" s="3">
        <v>0</v>
      </c>
      <c r="AU17" s="3">
        <v>5</v>
      </c>
      <c r="AV17" s="3">
        <v>6</v>
      </c>
      <c r="AW17" s="3">
        <v>6</v>
      </c>
      <c r="AX17" s="3">
        <v>7</v>
      </c>
      <c r="AY17" s="3">
        <v>4</v>
      </c>
      <c r="AZ17" s="3">
        <v>2</v>
      </c>
      <c r="BA17" s="3">
        <v>5</v>
      </c>
      <c r="BB17" s="3">
        <v>4</v>
      </c>
      <c r="BC17" s="3">
        <v>2</v>
      </c>
      <c r="BD17" s="3">
        <v>2</v>
      </c>
      <c r="BE17" s="3">
        <v>4</v>
      </c>
      <c r="BF17" s="3">
        <v>1</v>
      </c>
      <c r="BG17" s="3">
        <v>0</v>
      </c>
      <c r="BH17" s="3">
        <v>1</v>
      </c>
      <c r="BI17" s="3">
        <v>4</v>
      </c>
      <c r="BJ17" s="3">
        <v>2</v>
      </c>
      <c r="BK17" s="3">
        <v>3</v>
      </c>
      <c r="BL17" s="3">
        <v>3</v>
      </c>
      <c r="BM17" s="3">
        <v>2</v>
      </c>
      <c r="BN17" s="3">
        <v>5</v>
      </c>
      <c r="BO17" s="3">
        <v>0</v>
      </c>
      <c r="BP17" s="3">
        <v>2</v>
      </c>
      <c r="BQ17" s="3">
        <v>2</v>
      </c>
      <c r="BR17" s="3">
        <v>2</v>
      </c>
      <c r="BS17" s="3">
        <v>3</v>
      </c>
      <c r="BT17" s="3">
        <v>1</v>
      </c>
      <c r="BU17" s="3">
        <v>5</v>
      </c>
      <c r="BV17" s="3">
        <v>5</v>
      </c>
      <c r="BW17" s="3">
        <v>3</v>
      </c>
      <c r="BX17" s="3">
        <v>0</v>
      </c>
      <c r="BY17" s="3">
        <v>2</v>
      </c>
      <c r="BZ17" s="3">
        <v>1</v>
      </c>
      <c r="CA17" s="3">
        <v>1</v>
      </c>
      <c r="CB17" s="3">
        <v>2</v>
      </c>
      <c r="CC17" s="3">
        <v>2</v>
      </c>
      <c r="CD17" s="3">
        <v>1</v>
      </c>
      <c r="CE17" s="3">
        <v>0</v>
      </c>
      <c r="CF17" s="3">
        <v>3</v>
      </c>
      <c r="CG17" s="3">
        <v>3</v>
      </c>
      <c r="CH17" s="3">
        <v>1</v>
      </c>
      <c r="CI17" s="3">
        <v>2</v>
      </c>
      <c r="CJ17" s="3">
        <v>2</v>
      </c>
      <c r="CK17" s="3">
        <v>5</v>
      </c>
      <c r="CL17" s="3">
        <v>3</v>
      </c>
      <c r="CM17" s="3">
        <v>0</v>
      </c>
      <c r="CN17" s="3">
        <v>1</v>
      </c>
      <c r="CO17" s="3">
        <v>0</v>
      </c>
      <c r="CP17" s="3">
        <v>1</v>
      </c>
      <c r="CQ17" s="3">
        <v>0</v>
      </c>
      <c r="CR17" s="3">
        <v>2</v>
      </c>
      <c r="CS17" s="3">
        <v>0</v>
      </c>
      <c r="CT17" s="3">
        <v>0</v>
      </c>
      <c r="CU17" s="3">
        <v>1</v>
      </c>
      <c r="CV17" s="3">
        <v>2</v>
      </c>
      <c r="CW17" s="3">
        <v>3</v>
      </c>
      <c r="CX17" s="3">
        <v>3</v>
      </c>
      <c r="CY17" s="3">
        <v>2</v>
      </c>
      <c r="CZ17" s="3">
        <v>0</v>
      </c>
      <c r="DA17" s="3">
        <v>0</v>
      </c>
      <c r="DB17" s="3">
        <v>0</v>
      </c>
      <c r="DC17" s="3" t="s">
        <v>201</v>
      </c>
      <c r="DD17" s="3" t="s">
        <v>201</v>
      </c>
      <c r="DE17" s="3" t="s">
        <v>201</v>
      </c>
      <c r="DF17" s="3" t="s">
        <v>201</v>
      </c>
      <c r="DG17" s="3" t="s">
        <v>201</v>
      </c>
      <c r="DH17" s="3" t="s">
        <v>201</v>
      </c>
      <c r="DI17" s="3" t="s">
        <v>201</v>
      </c>
      <c r="DJ17" s="3" t="s">
        <v>201</v>
      </c>
      <c r="DK17" s="3" t="s">
        <v>201</v>
      </c>
      <c r="DL17" s="3" t="s">
        <v>201</v>
      </c>
      <c r="DM17" s="3" t="s">
        <v>201</v>
      </c>
      <c r="DN17" s="3" t="s">
        <v>201</v>
      </c>
      <c r="DO17" s="3" t="s">
        <v>201</v>
      </c>
      <c r="DP17" s="3" t="s">
        <v>201</v>
      </c>
      <c r="DQ17" s="3" t="s">
        <v>201</v>
      </c>
      <c r="DR17">
        <f t="shared" si="0"/>
        <v>2016</v>
      </c>
    </row>
    <row r="18" spans="1:122" x14ac:dyDescent="0.35">
      <c r="A18" s="1">
        <f t="shared" si="1"/>
        <v>42491</v>
      </c>
      <c r="B18" s="2">
        <v>55</v>
      </c>
      <c r="C18" s="2">
        <v>64</v>
      </c>
      <c r="D18" s="2">
        <v>44</v>
      </c>
      <c r="E18" s="2">
        <v>46</v>
      </c>
      <c r="F18" s="2">
        <v>33</v>
      </c>
      <c r="G18" s="2">
        <v>36</v>
      </c>
      <c r="H18" s="2">
        <v>40</v>
      </c>
      <c r="I18" s="2">
        <v>24</v>
      </c>
      <c r="J18" s="2">
        <v>23</v>
      </c>
      <c r="K18" s="2">
        <v>23</v>
      </c>
      <c r="L18" s="2">
        <v>19</v>
      </c>
      <c r="M18" s="2">
        <v>21</v>
      </c>
      <c r="N18" s="3">
        <v>12</v>
      </c>
      <c r="O18" s="3">
        <v>11</v>
      </c>
      <c r="P18" s="3">
        <v>13</v>
      </c>
      <c r="Q18" s="3">
        <v>9</v>
      </c>
      <c r="R18" s="3">
        <v>8</v>
      </c>
      <c r="S18" s="3">
        <v>8</v>
      </c>
      <c r="T18" s="3">
        <v>15</v>
      </c>
      <c r="U18" s="3">
        <v>9</v>
      </c>
      <c r="V18" s="3">
        <v>7</v>
      </c>
      <c r="W18" s="3">
        <v>6</v>
      </c>
      <c r="X18" s="3">
        <v>13</v>
      </c>
      <c r="Y18" s="3">
        <v>5</v>
      </c>
      <c r="Z18" s="3">
        <v>6</v>
      </c>
      <c r="AA18" s="3">
        <v>7</v>
      </c>
      <c r="AB18" s="3">
        <v>6</v>
      </c>
      <c r="AC18" s="3">
        <v>4</v>
      </c>
      <c r="AD18" s="3">
        <v>2</v>
      </c>
      <c r="AE18" s="3">
        <v>2</v>
      </c>
      <c r="AF18" s="3">
        <v>5</v>
      </c>
      <c r="AG18" s="3">
        <v>3</v>
      </c>
      <c r="AH18" s="3">
        <v>6</v>
      </c>
      <c r="AI18" s="3">
        <v>2</v>
      </c>
      <c r="AJ18" s="3">
        <v>4</v>
      </c>
      <c r="AK18" s="3">
        <v>4</v>
      </c>
      <c r="AL18" s="3">
        <v>7</v>
      </c>
      <c r="AM18" s="3">
        <v>9</v>
      </c>
      <c r="AN18" s="3">
        <v>7</v>
      </c>
      <c r="AO18" s="3">
        <v>4</v>
      </c>
      <c r="AP18" s="3">
        <v>6</v>
      </c>
      <c r="AQ18" s="3">
        <v>2</v>
      </c>
      <c r="AR18" s="3">
        <v>1</v>
      </c>
      <c r="AS18" s="3">
        <v>2</v>
      </c>
      <c r="AT18" s="3">
        <v>5</v>
      </c>
      <c r="AU18" s="3">
        <v>2</v>
      </c>
      <c r="AV18" s="3">
        <v>4</v>
      </c>
      <c r="AW18" s="3">
        <v>4</v>
      </c>
      <c r="AX18" s="3">
        <v>2</v>
      </c>
      <c r="AY18" s="3">
        <v>7</v>
      </c>
      <c r="AZ18" s="3">
        <v>2</v>
      </c>
      <c r="BA18" s="3">
        <v>3</v>
      </c>
      <c r="BB18" s="3">
        <v>2</v>
      </c>
      <c r="BC18" s="3">
        <v>1</v>
      </c>
      <c r="BD18" s="3">
        <v>4</v>
      </c>
      <c r="BE18" s="3">
        <v>2</v>
      </c>
      <c r="BF18" s="3">
        <v>2</v>
      </c>
      <c r="BG18" s="3">
        <v>2</v>
      </c>
      <c r="BH18" s="3">
        <v>2</v>
      </c>
      <c r="BI18" s="3">
        <v>3</v>
      </c>
      <c r="BJ18" s="3">
        <v>1</v>
      </c>
      <c r="BK18" s="3">
        <v>0</v>
      </c>
      <c r="BL18" s="3">
        <v>4</v>
      </c>
      <c r="BM18" s="3">
        <v>3</v>
      </c>
      <c r="BN18" s="3">
        <v>2</v>
      </c>
      <c r="BO18" s="3">
        <v>1</v>
      </c>
      <c r="BP18" s="3">
        <v>0</v>
      </c>
      <c r="BQ18" s="3">
        <v>4</v>
      </c>
      <c r="BR18" s="3">
        <v>2</v>
      </c>
      <c r="BS18" s="3">
        <v>0</v>
      </c>
      <c r="BT18" s="3">
        <v>2</v>
      </c>
      <c r="BU18" s="3">
        <v>3</v>
      </c>
      <c r="BV18" s="3">
        <v>2</v>
      </c>
      <c r="BW18" s="3">
        <v>3</v>
      </c>
      <c r="BX18" s="3">
        <v>1</v>
      </c>
      <c r="BY18" s="3">
        <v>1</v>
      </c>
      <c r="BZ18" s="3">
        <v>0</v>
      </c>
      <c r="CA18" s="3">
        <v>2</v>
      </c>
      <c r="CB18" s="3">
        <v>3</v>
      </c>
      <c r="CC18" s="3">
        <v>0</v>
      </c>
      <c r="CD18" s="3">
        <v>0</v>
      </c>
      <c r="CE18" s="3">
        <v>1</v>
      </c>
      <c r="CF18" s="3">
        <v>0</v>
      </c>
      <c r="CG18" s="3">
        <v>3</v>
      </c>
      <c r="CH18" s="3">
        <v>1</v>
      </c>
      <c r="CI18" s="3">
        <v>3</v>
      </c>
      <c r="CJ18" s="3">
        <v>1</v>
      </c>
      <c r="CK18" s="3">
        <v>1</v>
      </c>
      <c r="CL18" s="3">
        <v>1</v>
      </c>
      <c r="CM18" s="3">
        <v>0</v>
      </c>
      <c r="CN18" s="3">
        <v>2</v>
      </c>
      <c r="CO18" s="3">
        <v>0</v>
      </c>
      <c r="CP18" s="3">
        <v>0</v>
      </c>
      <c r="CQ18" s="3">
        <v>0</v>
      </c>
      <c r="CR18" s="3">
        <v>0</v>
      </c>
      <c r="CS18" s="3">
        <v>0</v>
      </c>
      <c r="CT18" s="3">
        <v>0</v>
      </c>
      <c r="CU18" s="3">
        <v>1</v>
      </c>
      <c r="CV18" s="3">
        <v>2</v>
      </c>
      <c r="CW18" s="3">
        <v>3</v>
      </c>
      <c r="CX18" s="3">
        <v>0</v>
      </c>
      <c r="CY18" s="3">
        <v>0</v>
      </c>
      <c r="CZ18" s="3">
        <v>0</v>
      </c>
      <c r="DA18" s="3">
        <v>0</v>
      </c>
      <c r="DB18" s="3" t="s">
        <v>201</v>
      </c>
      <c r="DC18" s="3" t="s">
        <v>201</v>
      </c>
      <c r="DD18" s="3" t="s">
        <v>201</v>
      </c>
      <c r="DE18" s="3" t="s">
        <v>201</v>
      </c>
      <c r="DF18" s="3" t="s">
        <v>201</v>
      </c>
      <c r="DG18" s="3" t="s">
        <v>201</v>
      </c>
      <c r="DH18" s="3" t="s">
        <v>201</v>
      </c>
      <c r="DI18" s="3" t="s">
        <v>201</v>
      </c>
      <c r="DJ18" s="3" t="s">
        <v>201</v>
      </c>
      <c r="DK18" s="3" t="s">
        <v>201</v>
      </c>
      <c r="DL18" s="3" t="s">
        <v>201</v>
      </c>
      <c r="DM18" s="3" t="s">
        <v>201</v>
      </c>
      <c r="DN18" s="3" t="s">
        <v>201</v>
      </c>
      <c r="DO18" s="3" t="s">
        <v>201</v>
      </c>
      <c r="DP18" s="3" t="s">
        <v>201</v>
      </c>
      <c r="DQ18" s="3" t="s">
        <v>201</v>
      </c>
      <c r="DR18">
        <f t="shared" si="0"/>
        <v>2016</v>
      </c>
    </row>
    <row r="19" spans="1:122" x14ac:dyDescent="0.35">
      <c r="A19" s="1">
        <f t="shared" si="1"/>
        <v>42522</v>
      </c>
      <c r="B19" s="2">
        <v>49</v>
      </c>
      <c r="C19" s="2">
        <v>103</v>
      </c>
      <c r="D19" s="2">
        <v>48</v>
      </c>
      <c r="E19" s="2">
        <v>54</v>
      </c>
      <c r="F19" s="2">
        <v>31</v>
      </c>
      <c r="G19" s="2">
        <v>18</v>
      </c>
      <c r="H19" s="2">
        <v>30</v>
      </c>
      <c r="I19" s="2">
        <v>22</v>
      </c>
      <c r="J19" s="2">
        <v>16</v>
      </c>
      <c r="K19" s="2">
        <v>20</v>
      </c>
      <c r="L19" s="2">
        <v>13</v>
      </c>
      <c r="M19" s="2">
        <v>13</v>
      </c>
      <c r="N19" s="3">
        <v>10</v>
      </c>
      <c r="O19" s="3">
        <v>18</v>
      </c>
      <c r="P19" s="3">
        <v>6</v>
      </c>
      <c r="Q19" s="3">
        <v>7</v>
      </c>
      <c r="R19" s="3">
        <v>12</v>
      </c>
      <c r="S19" s="3">
        <v>10</v>
      </c>
      <c r="T19" s="3">
        <v>7</v>
      </c>
      <c r="U19" s="3">
        <v>3</v>
      </c>
      <c r="V19" s="3">
        <v>6</v>
      </c>
      <c r="W19" s="3">
        <v>7</v>
      </c>
      <c r="X19" s="3">
        <v>4</v>
      </c>
      <c r="Y19" s="3">
        <v>3</v>
      </c>
      <c r="Z19" s="3">
        <v>2</v>
      </c>
      <c r="AA19" s="3">
        <v>6</v>
      </c>
      <c r="AB19" s="3">
        <v>7</v>
      </c>
      <c r="AC19" s="3">
        <v>8</v>
      </c>
      <c r="AD19" s="3">
        <v>3</v>
      </c>
      <c r="AE19" s="3">
        <v>3</v>
      </c>
      <c r="AF19" s="3">
        <v>4</v>
      </c>
      <c r="AG19" s="3">
        <v>2</v>
      </c>
      <c r="AH19" s="3">
        <v>1</v>
      </c>
      <c r="AI19" s="3">
        <v>6</v>
      </c>
      <c r="AJ19" s="3">
        <v>4</v>
      </c>
      <c r="AK19" s="3">
        <v>5</v>
      </c>
      <c r="AL19" s="3">
        <v>3</v>
      </c>
      <c r="AM19" s="3">
        <v>2</v>
      </c>
      <c r="AN19" s="3">
        <v>1</v>
      </c>
      <c r="AO19" s="3">
        <v>6</v>
      </c>
      <c r="AP19" s="3">
        <v>4</v>
      </c>
      <c r="AQ19" s="3">
        <v>5</v>
      </c>
      <c r="AR19" s="3">
        <v>4</v>
      </c>
      <c r="AS19" s="3">
        <v>2</v>
      </c>
      <c r="AT19" s="3">
        <v>2</v>
      </c>
      <c r="AU19" s="3">
        <v>4</v>
      </c>
      <c r="AV19" s="3">
        <v>1</v>
      </c>
      <c r="AW19" s="3">
        <v>0</v>
      </c>
      <c r="AX19" s="3">
        <v>0</v>
      </c>
      <c r="AY19" s="3">
        <v>2</v>
      </c>
      <c r="AZ19" s="3">
        <v>2</v>
      </c>
      <c r="BA19" s="3">
        <v>0</v>
      </c>
      <c r="BB19" s="3">
        <v>4</v>
      </c>
      <c r="BC19" s="3">
        <v>6</v>
      </c>
      <c r="BD19" s="3">
        <v>3</v>
      </c>
      <c r="BE19" s="3">
        <v>2</v>
      </c>
      <c r="BF19" s="3">
        <v>2</v>
      </c>
      <c r="BG19" s="3">
        <v>1</v>
      </c>
      <c r="BH19" s="3">
        <v>5</v>
      </c>
      <c r="BI19" s="3">
        <v>2</v>
      </c>
      <c r="BJ19" s="3">
        <v>2</v>
      </c>
      <c r="BK19" s="3">
        <v>0</v>
      </c>
      <c r="BL19" s="3">
        <v>0</v>
      </c>
      <c r="BM19" s="3">
        <v>1</v>
      </c>
      <c r="BN19" s="3">
        <v>0</v>
      </c>
      <c r="BO19" s="3">
        <v>2</v>
      </c>
      <c r="BP19" s="3">
        <v>1</v>
      </c>
      <c r="BQ19" s="3">
        <v>2</v>
      </c>
      <c r="BR19" s="3">
        <v>2</v>
      </c>
      <c r="BS19" s="3">
        <v>4</v>
      </c>
      <c r="BT19" s="3">
        <v>2</v>
      </c>
      <c r="BU19" s="3">
        <v>2</v>
      </c>
      <c r="BV19" s="3">
        <v>1</v>
      </c>
      <c r="BW19" s="3">
        <v>0</v>
      </c>
      <c r="BX19" s="3">
        <v>4</v>
      </c>
      <c r="BY19" s="3">
        <v>1</v>
      </c>
      <c r="BZ19" s="3">
        <v>1</v>
      </c>
      <c r="CA19" s="3">
        <v>2</v>
      </c>
      <c r="CB19" s="3">
        <v>2</v>
      </c>
      <c r="CC19" s="3">
        <v>0</v>
      </c>
      <c r="CD19" s="3">
        <v>1</v>
      </c>
      <c r="CE19" s="3">
        <v>3</v>
      </c>
      <c r="CF19" s="3">
        <v>0</v>
      </c>
      <c r="CG19" s="3">
        <v>2</v>
      </c>
      <c r="CH19" s="3">
        <v>2</v>
      </c>
      <c r="CI19" s="3">
        <v>0</v>
      </c>
      <c r="CJ19" s="3">
        <v>2</v>
      </c>
      <c r="CK19" s="3">
        <v>1</v>
      </c>
      <c r="CL19" s="3">
        <v>0</v>
      </c>
      <c r="CM19" s="3">
        <v>0</v>
      </c>
      <c r="CN19" s="3">
        <v>1</v>
      </c>
      <c r="CO19" s="3">
        <v>1</v>
      </c>
      <c r="CP19" s="3">
        <v>0</v>
      </c>
      <c r="CQ19" s="3">
        <v>0</v>
      </c>
      <c r="CR19" s="3">
        <v>0</v>
      </c>
      <c r="CS19" s="3">
        <v>0</v>
      </c>
      <c r="CT19" s="3">
        <v>2</v>
      </c>
      <c r="CU19" s="3">
        <v>0</v>
      </c>
      <c r="CV19" s="3">
        <v>0</v>
      </c>
      <c r="CW19" s="3">
        <v>2</v>
      </c>
      <c r="CX19" s="3">
        <v>0</v>
      </c>
      <c r="CY19" s="3">
        <v>0</v>
      </c>
      <c r="CZ19" s="3">
        <v>1</v>
      </c>
      <c r="DA19" s="3" t="s">
        <v>201</v>
      </c>
      <c r="DB19" s="3" t="s">
        <v>201</v>
      </c>
      <c r="DC19" s="3" t="s">
        <v>201</v>
      </c>
      <c r="DD19" s="3" t="s">
        <v>201</v>
      </c>
      <c r="DE19" s="3" t="s">
        <v>201</v>
      </c>
      <c r="DF19" s="3" t="s">
        <v>201</v>
      </c>
      <c r="DG19" s="3" t="s">
        <v>201</v>
      </c>
      <c r="DH19" s="3" t="s">
        <v>201</v>
      </c>
      <c r="DI19" s="3" t="s">
        <v>201</v>
      </c>
      <c r="DJ19" s="3" t="s">
        <v>201</v>
      </c>
      <c r="DK19" s="3" t="s">
        <v>201</v>
      </c>
      <c r="DL19" s="3" t="s">
        <v>201</v>
      </c>
      <c r="DM19" s="3" t="s">
        <v>201</v>
      </c>
      <c r="DN19" s="3" t="s">
        <v>201</v>
      </c>
      <c r="DO19" s="3" t="s">
        <v>201</v>
      </c>
      <c r="DP19" s="3" t="s">
        <v>201</v>
      </c>
      <c r="DQ19" s="3" t="s">
        <v>201</v>
      </c>
      <c r="DR19">
        <f t="shared" si="0"/>
        <v>2016</v>
      </c>
    </row>
    <row r="20" spans="1:122" x14ac:dyDescent="0.35">
      <c r="A20" s="1">
        <f t="shared" si="1"/>
        <v>42552</v>
      </c>
      <c r="B20" s="2">
        <v>60</v>
      </c>
      <c r="C20" s="2">
        <v>85</v>
      </c>
      <c r="D20" s="2">
        <v>58</v>
      </c>
      <c r="E20" s="2">
        <v>52</v>
      </c>
      <c r="F20" s="2">
        <v>32</v>
      </c>
      <c r="G20" s="2">
        <v>38</v>
      </c>
      <c r="H20" s="2">
        <v>33</v>
      </c>
      <c r="I20" s="2">
        <v>34</v>
      </c>
      <c r="J20" s="2">
        <v>13</v>
      </c>
      <c r="K20" s="2">
        <v>21</v>
      </c>
      <c r="L20" s="2">
        <v>20</v>
      </c>
      <c r="M20" s="2">
        <v>20</v>
      </c>
      <c r="N20" s="3">
        <v>7</v>
      </c>
      <c r="O20" s="3">
        <v>13</v>
      </c>
      <c r="P20" s="3">
        <v>15</v>
      </c>
      <c r="Q20" s="3">
        <v>11</v>
      </c>
      <c r="R20" s="3">
        <v>12</v>
      </c>
      <c r="S20" s="3">
        <v>13</v>
      </c>
      <c r="T20" s="3">
        <v>9</v>
      </c>
      <c r="U20" s="3">
        <v>8</v>
      </c>
      <c r="V20" s="3">
        <v>6</v>
      </c>
      <c r="W20" s="3">
        <v>8</v>
      </c>
      <c r="X20" s="3">
        <v>4</v>
      </c>
      <c r="Y20" s="3">
        <v>5</v>
      </c>
      <c r="Z20" s="3">
        <v>8</v>
      </c>
      <c r="AA20" s="3">
        <v>6</v>
      </c>
      <c r="AB20" s="3">
        <v>8</v>
      </c>
      <c r="AC20" s="3">
        <v>2</v>
      </c>
      <c r="AD20" s="3">
        <v>5</v>
      </c>
      <c r="AE20" s="3">
        <v>9</v>
      </c>
      <c r="AF20" s="3">
        <v>6</v>
      </c>
      <c r="AG20" s="3">
        <v>2</v>
      </c>
      <c r="AH20" s="3">
        <v>7</v>
      </c>
      <c r="AI20" s="3">
        <v>1</v>
      </c>
      <c r="AJ20" s="3">
        <v>4</v>
      </c>
      <c r="AK20" s="3">
        <v>9</v>
      </c>
      <c r="AL20" s="3">
        <v>5</v>
      </c>
      <c r="AM20" s="3">
        <v>3</v>
      </c>
      <c r="AN20" s="3">
        <v>2</v>
      </c>
      <c r="AO20" s="3">
        <v>6</v>
      </c>
      <c r="AP20" s="3">
        <v>2</v>
      </c>
      <c r="AQ20" s="3">
        <v>4</v>
      </c>
      <c r="AR20" s="3">
        <v>2</v>
      </c>
      <c r="AS20" s="3">
        <v>0</v>
      </c>
      <c r="AT20" s="3">
        <v>5</v>
      </c>
      <c r="AU20" s="3">
        <v>4</v>
      </c>
      <c r="AV20" s="3">
        <v>2</v>
      </c>
      <c r="AW20" s="3">
        <v>3</v>
      </c>
      <c r="AX20" s="3">
        <v>2</v>
      </c>
      <c r="AY20" s="3">
        <v>3</v>
      </c>
      <c r="AZ20" s="3">
        <v>2</v>
      </c>
      <c r="BA20" s="3">
        <v>3</v>
      </c>
      <c r="BB20" s="3">
        <v>3</v>
      </c>
      <c r="BC20" s="3">
        <v>3</v>
      </c>
      <c r="BD20" s="3">
        <v>2</v>
      </c>
      <c r="BE20" s="3">
        <v>1</v>
      </c>
      <c r="BF20" s="3">
        <v>1</v>
      </c>
      <c r="BG20" s="3">
        <v>1</v>
      </c>
      <c r="BH20" s="3">
        <v>2</v>
      </c>
      <c r="BI20" s="3">
        <v>0</v>
      </c>
      <c r="BJ20" s="3">
        <v>1</v>
      </c>
      <c r="BK20" s="3">
        <v>2</v>
      </c>
      <c r="BL20" s="3">
        <v>0</v>
      </c>
      <c r="BM20" s="3">
        <v>1</v>
      </c>
      <c r="BN20" s="3">
        <v>1</v>
      </c>
      <c r="BO20" s="3">
        <v>0</v>
      </c>
      <c r="BP20" s="3">
        <v>1</v>
      </c>
      <c r="BQ20" s="3">
        <v>2</v>
      </c>
      <c r="BR20" s="3">
        <v>2</v>
      </c>
      <c r="BS20" s="3">
        <v>0</v>
      </c>
      <c r="BT20" s="3">
        <v>5</v>
      </c>
      <c r="BU20" s="3">
        <v>4</v>
      </c>
      <c r="BV20" s="3">
        <v>2</v>
      </c>
      <c r="BW20" s="3">
        <v>0</v>
      </c>
      <c r="BX20" s="3">
        <v>1</v>
      </c>
      <c r="BY20" s="3">
        <v>1</v>
      </c>
      <c r="BZ20" s="3">
        <v>1</v>
      </c>
      <c r="CA20" s="3">
        <v>2</v>
      </c>
      <c r="CB20" s="3">
        <v>1</v>
      </c>
      <c r="CC20" s="3">
        <v>0</v>
      </c>
      <c r="CD20" s="3">
        <v>1</v>
      </c>
      <c r="CE20" s="3">
        <v>2</v>
      </c>
      <c r="CF20" s="3">
        <v>2</v>
      </c>
      <c r="CG20" s="3">
        <v>0</v>
      </c>
      <c r="CH20" s="3">
        <v>1</v>
      </c>
      <c r="CI20" s="3">
        <v>1</v>
      </c>
      <c r="CJ20" s="3">
        <v>1</v>
      </c>
      <c r="CK20" s="3">
        <v>1</v>
      </c>
      <c r="CL20" s="3">
        <v>0</v>
      </c>
      <c r="CM20" s="3">
        <v>3</v>
      </c>
      <c r="CN20" s="3">
        <v>1</v>
      </c>
      <c r="CO20" s="3">
        <v>0</v>
      </c>
      <c r="CP20" s="3">
        <v>2</v>
      </c>
      <c r="CQ20" s="3">
        <v>0</v>
      </c>
      <c r="CR20" s="3">
        <v>0</v>
      </c>
      <c r="CS20" s="3">
        <v>0</v>
      </c>
      <c r="CT20" s="3">
        <v>2</v>
      </c>
      <c r="CU20" s="3">
        <v>1</v>
      </c>
      <c r="CV20" s="3">
        <v>2</v>
      </c>
      <c r="CW20" s="3">
        <v>1</v>
      </c>
      <c r="CX20" s="3">
        <v>0</v>
      </c>
      <c r="CY20" s="3">
        <v>0</v>
      </c>
      <c r="CZ20" s="3" t="s">
        <v>201</v>
      </c>
      <c r="DA20" s="3" t="s">
        <v>201</v>
      </c>
      <c r="DB20" s="3" t="s">
        <v>201</v>
      </c>
      <c r="DC20" s="3" t="s">
        <v>201</v>
      </c>
      <c r="DD20" s="3" t="s">
        <v>201</v>
      </c>
      <c r="DE20" s="3" t="s">
        <v>201</v>
      </c>
      <c r="DF20" s="3" t="s">
        <v>201</v>
      </c>
      <c r="DG20" s="3" t="s">
        <v>201</v>
      </c>
      <c r="DH20" s="3" t="s">
        <v>201</v>
      </c>
      <c r="DI20" s="3" t="s">
        <v>201</v>
      </c>
      <c r="DJ20" s="3" t="s">
        <v>201</v>
      </c>
      <c r="DK20" s="3" t="s">
        <v>201</v>
      </c>
      <c r="DL20" s="3" t="s">
        <v>201</v>
      </c>
      <c r="DM20" s="3" t="s">
        <v>201</v>
      </c>
      <c r="DN20" s="3" t="s">
        <v>201</v>
      </c>
      <c r="DO20" s="3" t="s">
        <v>201</v>
      </c>
      <c r="DP20" s="3" t="s">
        <v>201</v>
      </c>
      <c r="DQ20" s="3" t="s">
        <v>201</v>
      </c>
      <c r="DR20">
        <f t="shared" si="0"/>
        <v>2016</v>
      </c>
    </row>
    <row r="21" spans="1:122" x14ac:dyDescent="0.35">
      <c r="A21" s="1">
        <f t="shared" si="1"/>
        <v>42583</v>
      </c>
      <c r="B21" s="2">
        <v>35</v>
      </c>
      <c r="C21" s="2">
        <v>58</v>
      </c>
      <c r="D21" s="2">
        <v>38</v>
      </c>
      <c r="E21" s="2">
        <v>35</v>
      </c>
      <c r="F21" s="2">
        <v>29</v>
      </c>
      <c r="G21" s="2">
        <v>35</v>
      </c>
      <c r="H21" s="2">
        <v>24</v>
      </c>
      <c r="I21" s="2">
        <v>18</v>
      </c>
      <c r="J21" s="2">
        <v>17</v>
      </c>
      <c r="K21" s="2">
        <v>16</v>
      </c>
      <c r="L21" s="2">
        <v>6</v>
      </c>
      <c r="M21" s="2">
        <v>11</v>
      </c>
      <c r="N21" s="3">
        <v>12</v>
      </c>
      <c r="O21" s="3">
        <v>5</v>
      </c>
      <c r="P21" s="3">
        <v>4</v>
      </c>
      <c r="Q21" s="3">
        <v>8</v>
      </c>
      <c r="R21" s="3">
        <v>2</v>
      </c>
      <c r="S21" s="3">
        <v>8</v>
      </c>
      <c r="T21" s="3">
        <v>9</v>
      </c>
      <c r="U21" s="3">
        <v>8</v>
      </c>
      <c r="V21" s="3">
        <v>2</v>
      </c>
      <c r="W21" s="3">
        <v>4</v>
      </c>
      <c r="X21" s="3">
        <v>6</v>
      </c>
      <c r="Y21" s="3">
        <v>4</v>
      </c>
      <c r="Z21" s="3">
        <v>6</v>
      </c>
      <c r="AA21" s="3">
        <v>5</v>
      </c>
      <c r="AB21" s="3">
        <v>8</v>
      </c>
      <c r="AC21" s="3">
        <v>3</v>
      </c>
      <c r="AD21" s="3">
        <v>6</v>
      </c>
      <c r="AE21" s="3">
        <v>2</v>
      </c>
      <c r="AF21" s="3">
        <v>3</v>
      </c>
      <c r="AG21" s="3">
        <v>4</v>
      </c>
      <c r="AH21" s="3">
        <v>1</v>
      </c>
      <c r="AI21" s="3">
        <v>3</v>
      </c>
      <c r="AJ21" s="3">
        <v>5</v>
      </c>
      <c r="AK21" s="3">
        <v>7</v>
      </c>
      <c r="AL21" s="3">
        <v>2</v>
      </c>
      <c r="AM21" s="3">
        <v>3</v>
      </c>
      <c r="AN21" s="3">
        <v>3</v>
      </c>
      <c r="AO21" s="3">
        <v>1</v>
      </c>
      <c r="AP21" s="3">
        <v>3</v>
      </c>
      <c r="AQ21" s="3">
        <v>1</v>
      </c>
      <c r="AR21" s="3">
        <v>0</v>
      </c>
      <c r="AS21" s="3">
        <v>2</v>
      </c>
      <c r="AT21" s="3">
        <v>1</v>
      </c>
      <c r="AU21" s="3">
        <v>2</v>
      </c>
      <c r="AV21" s="3">
        <v>1</v>
      </c>
      <c r="AW21" s="3">
        <v>2</v>
      </c>
      <c r="AX21" s="3">
        <v>3</v>
      </c>
      <c r="AY21" s="3">
        <v>2</v>
      </c>
      <c r="AZ21" s="3">
        <v>2</v>
      </c>
      <c r="BA21" s="3">
        <v>2</v>
      </c>
      <c r="BB21" s="3">
        <v>1</v>
      </c>
      <c r="BC21" s="3">
        <v>1</v>
      </c>
      <c r="BD21" s="3">
        <v>2</v>
      </c>
      <c r="BE21" s="3">
        <v>1</v>
      </c>
      <c r="BF21" s="3">
        <v>1</v>
      </c>
      <c r="BG21" s="3">
        <v>0</v>
      </c>
      <c r="BH21" s="3">
        <v>2</v>
      </c>
      <c r="BI21" s="3">
        <v>1</v>
      </c>
      <c r="BJ21" s="3">
        <v>1</v>
      </c>
      <c r="BK21" s="3">
        <v>2</v>
      </c>
      <c r="BL21" s="3">
        <v>0</v>
      </c>
      <c r="BM21" s="3">
        <v>0</v>
      </c>
      <c r="BN21" s="3">
        <v>1</v>
      </c>
      <c r="BO21" s="3">
        <v>2</v>
      </c>
      <c r="BP21" s="3">
        <v>0</v>
      </c>
      <c r="BQ21" s="3">
        <v>1</v>
      </c>
      <c r="BR21" s="3">
        <v>4</v>
      </c>
      <c r="BS21" s="3">
        <v>3</v>
      </c>
      <c r="BT21" s="3">
        <v>1</v>
      </c>
      <c r="BU21" s="3">
        <v>3</v>
      </c>
      <c r="BV21" s="3">
        <v>2</v>
      </c>
      <c r="BW21" s="3">
        <v>0</v>
      </c>
      <c r="BX21" s="3">
        <v>0</v>
      </c>
      <c r="BY21" s="3">
        <v>1</v>
      </c>
      <c r="BZ21" s="3">
        <v>0</v>
      </c>
      <c r="CA21" s="3">
        <v>0</v>
      </c>
      <c r="CB21" s="3">
        <v>0</v>
      </c>
      <c r="CC21" s="3">
        <v>0</v>
      </c>
      <c r="CD21" s="3">
        <v>0</v>
      </c>
      <c r="CE21" s="3">
        <v>0</v>
      </c>
      <c r="CF21" s="3">
        <v>2</v>
      </c>
      <c r="CG21" s="3">
        <v>0</v>
      </c>
      <c r="CH21" s="3">
        <v>0</v>
      </c>
      <c r="CI21" s="3">
        <v>0</v>
      </c>
      <c r="CJ21" s="3">
        <v>0</v>
      </c>
      <c r="CK21" s="3">
        <v>0</v>
      </c>
      <c r="CL21" s="3">
        <v>0</v>
      </c>
      <c r="CM21" s="3">
        <v>0</v>
      </c>
      <c r="CN21" s="3">
        <v>1</v>
      </c>
      <c r="CO21" s="3">
        <v>0</v>
      </c>
      <c r="CP21" s="3">
        <v>0</v>
      </c>
      <c r="CQ21" s="3">
        <v>1</v>
      </c>
      <c r="CR21" s="3">
        <v>0</v>
      </c>
      <c r="CS21" s="3">
        <v>1</v>
      </c>
      <c r="CT21" s="3">
        <v>0</v>
      </c>
      <c r="CU21" s="3">
        <v>1</v>
      </c>
      <c r="CV21" s="3">
        <v>0</v>
      </c>
      <c r="CW21" s="3">
        <v>0</v>
      </c>
      <c r="CX21" s="3">
        <v>0</v>
      </c>
      <c r="CY21" s="3" t="s">
        <v>201</v>
      </c>
      <c r="CZ21" s="3" t="s">
        <v>201</v>
      </c>
      <c r="DA21" s="3" t="s">
        <v>201</v>
      </c>
      <c r="DB21" s="3" t="s">
        <v>201</v>
      </c>
      <c r="DC21" s="3" t="s">
        <v>201</v>
      </c>
      <c r="DD21" s="3" t="s">
        <v>201</v>
      </c>
      <c r="DE21" s="3" t="s">
        <v>201</v>
      </c>
      <c r="DF21" s="3" t="s">
        <v>201</v>
      </c>
      <c r="DG21" s="3" t="s">
        <v>201</v>
      </c>
      <c r="DH21" s="3" t="s">
        <v>201</v>
      </c>
      <c r="DI21" s="3" t="s">
        <v>201</v>
      </c>
      <c r="DJ21" s="3" t="s">
        <v>201</v>
      </c>
      <c r="DK21" s="3" t="s">
        <v>201</v>
      </c>
      <c r="DL21" s="3" t="s">
        <v>201</v>
      </c>
      <c r="DM21" s="3" t="s">
        <v>201</v>
      </c>
      <c r="DN21" s="3" t="s">
        <v>201</v>
      </c>
      <c r="DO21" s="3" t="s">
        <v>201</v>
      </c>
      <c r="DP21" s="3" t="s">
        <v>201</v>
      </c>
      <c r="DQ21" s="3" t="s">
        <v>201</v>
      </c>
      <c r="DR21">
        <f t="shared" si="0"/>
        <v>2016</v>
      </c>
    </row>
    <row r="22" spans="1:122" x14ac:dyDescent="0.35">
      <c r="A22" s="1">
        <f t="shared" si="1"/>
        <v>42614</v>
      </c>
      <c r="B22" s="2">
        <v>25</v>
      </c>
      <c r="C22" s="2">
        <v>44</v>
      </c>
      <c r="D22" s="2">
        <v>26</v>
      </c>
      <c r="E22" s="2">
        <v>20</v>
      </c>
      <c r="F22" s="2">
        <v>22</v>
      </c>
      <c r="G22" s="2">
        <v>13</v>
      </c>
      <c r="H22" s="2">
        <v>16</v>
      </c>
      <c r="I22" s="2">
        <v>8</v>
      </c>
      <c r="J22" s="2">
        <v>13</v>
      </c>
      <c r="K22" s="2">
        <v>7</v>
      </c>
      <c r="L22" s="2">
        <v>10</v>
      </c>
      <c r="M22" s="2">
        <v>5</v>
      </c>
      <c r="N22" s="3">
        <v>6</v>
      </c>
      <c r="O22" s="3">
        <v>7</v>
      </c>
      <c r="P22" s="3">
        <v>10</v>
      </c>
      <c r="Q22" s="3">
        <v>7</v>
      </c>
      <c r="R22" s="3">
        <v>4</v>
      </c>
      <c r="S22" s="3">
        <v>6</v>
      </c>
      <c r="T22" s="3">
        <v>5</v>
      </c>
      <c r="U22" s="3">
        <v>7</v>
      </c>
      <c r="V22" s="3">
        <v>3</v>
      </c>
      <c r="W22" s="3">
        <v>4</v>
      </c>
      <c r="X22" s="3">
        <v>5</v>
      </c>
      <c r="Y22" s="3">
        <v>1</v>
      </c>
      <c r="Z22" s="3">
        <v>3</v>
      </c>
      <c r="AA22" s="3">
        <v>2</v>
      </c>
      <c r="AB22" s="3">
        <v>2</v>
      </c>
      <c r="AC22" s="3">
        <v>3</v>
      </c>
      <c r="AD22" s="3">
        <v>2</v>
      </c>
      <c r="AE22" s="3">
        <v>3</v>
      </c>
      <c r="AF22" s="3">
        <v>3</v>
      </c>
      <c r="AG22" s="3">
        <v>3</v>
      </c>
      <c r="AH22" s="3">
        <v>2</v>
      </c>
      <c r="AI22" s="3">
        <v>6</v>
      </c>
      <c r="AJ22" s="3">
        <v>2</v>
      </c>
      <c r="AK22" s="3">
        <v>4</v>
      </c>
      <c r="AL22" s="3">
        <v>1</v>
      </c>
      <c r="AM22" s="3">
        <v>2</v>
      </c>
      <c r="AN22" s="3">
        <v>3</v>
      </c>
      <c r="AO22" s="3">
        <v>0</v>
      </c>
      <c r="AP22" s="3">
        <v>1</v>
      </c>
      <c r="AQ22" s="3">
        <v>1</v>
      </c>
      <c r="AR22" s="3">
        <v>3</v>
      </c>
      <c r="AS22" s="3">
        <v>1</v>
      </c>
      <c r="AT22" s="3">
        <v>0</v>
      </c>
      <c r="AU22" s="3">
        <v>0</v>
      </c>
      <c r="AV22" s="3">
        <v>1</v>
      </c>
      <c r="AW22" s="3">
        <v>0</v>
      </c>
      <c r="AX22" s="3">
        <v>2</v>
      </c>
      <c r="AY22" s="3">
        <v>3</v>
      </c>
      <c r="AZ22" s="3">
        <v>1</v>
      </c>
      <c r="BA22" s="3">
        <v>0</v>
      </c>
      <c r="BB22" s="3">
        <v>4</v>
      </c>
      <c r="BC22" s="3">
        <v>0</v>
      </c>
      <c r="BD22" s="3">
        <v>1</v>
      </c>
      <c r="BE22" s="3">
        <v>3</v>
      </c>
      <c r="BF22" s="3">
        <v>1</v>
      </c>
      <c r="BG22" s="3">
        <v>3</v>
      </c>
      <c r="BH22" s="3">
        <v>2</v>
      </c>
      <c r="BI22" s="3">
        <v>0</v>
      </c>
      <c r="BJ22" s="3">
        <v>1</v>
      </c>
      <c r="BK22" s="3">
        <v>0</v>
      </c>
      <c r="BL22" s="3">
        <v>0</v>
      </c>
      <c r="BM22" s="3">
        <v>0</v>
      </c>
      <c r="BN22" s="3">
        <v>1</v>
      </c>
      <c r="BO22" s="3">
        <v>2</v>
      </c>
      <c r="BP22" s="3">
        <v>0</v>
      </c>
      <c r="BQ22" s="3">
        <v>0</v>
      </c>
      <c r="BR22" s="3">
        <v>1</v>
      </c>
      <c r="BS22" s="3">
        <v>1</v>
      </c>
      <c r="BT22" s="3">
        <v>1</v>
      </c>
      <c r="BU22" s="3">
        <v>2</v>
      </c>
      <c r="BV22" s="3">
        <v>1</v>
      </c>
      <c r="BW22" s="3">
        <v>0</v>
      </c>
      <c r="BX22" s="3">
        <v>0</v>
      </c>
      <c r="BY22" s="3">
        <v>0</v>
      </c>
      <c r="BZ22" s="3">
        <v>0</v>
      </c>
      <c r="CA22" s="3">
        <v>1</v>
      </c>
      <c r="CB22" s="3">
        <v>0</v>
      </c>
      <c r="CC22" s="3">
        <v>0</v>
      </c>
      <c r="CD22" s="3">
        <v>0</v>
      </c>
      <c r="CE22" s="3">
        <v>1</v>
      </c>
      <c r="CF22" s="3">
        <v>1</v>
      </c>
      <c r="CG22" s="3">
        <v>0</v>
      </c>
      <c r="CH22" s="3">
        <v>0</v>
      </c>
      <c r="CI22" s="3">
        <v>0</v>
      </c>
      <c r="CJ22" s="3">
        <v>1</v>
      </c>
      <c r="CK22" s="3">
        <v>0</v>
      </c>
      <c r="CL22" s="3">
        <v>1</v>
      </c>
      <c r="CM22" s="3">
        <v>0</v>
      </c>
      <c r="CN22" s="3">
        <v>0</v>
      </c>
      <c r="CO22" s="3">
        <v>1</v>
      </c>
      <c r="CP22" s="3">
        <v>0</v>
      </c>
      <c r="CQ22" s="3">
        <v>0</v>
      </c>
      <c r="CR22" s="3">
        <v>0</v>
      </c>
      <c r="CS22" s="3">
        <v>0</v>
      </c>
      <c r="CT22" s="3">
        <v>1</v>
      </c>
      <c r="CU22" s="3">
        <v>0</v>
      </c>
      <c r="CV22" s="3">
        <v>0</v>
      </c>
      <c r="CW22" s="3">
        <v>0</v>
      </c>
      <c r="CX22" s="3" t="s">
        <v>201</v>
      </c>
      <c r="CY22" s="3" t="s">
        <v>201</v>
      </c>
      <c r="CZ22" s="3" t="s">
        <v>201</v>
      </c>
      <c r="DA22" s="3" t="s">
        <v>201</v>
      </c>
      <c r="DB22" s="3" t="s">
        <v>201</v>
      </c>
      <c r="DC22" s="3" t="s">
        <v>201</v>
      </c>
      <c r="DD22" s="3" t="s">
        <v>201</v>
      </c>
      <c r="DE22" s="3" t="s">
        <v>201</v>
      </c>
      <c r="DF22" s="3" t="s">
        <v>201</v>
      </c>
      <c r="DG22" s="3" t="s">
        <v>201</v>
      </c>
      <c r="DH22" s="3" t="s">
        <v>201</v>
      </c>
      <c r="DI22" s="3" t="s">
        <v>201</v>
      </c>
      <c r="DJ22" s="3" t="s">
        <v>201</v>
      </c>
      <c r="DK22" s="3" t="s">
        <v>201</v>
      </c>
      <c r="DL22" s="3" t="s">
        <v>201</v>
      </c>
      <c r="DM22" s="3" t="s">
        <v>201</v>
      </c>
      <c r="DN22" s="3" t="s">
        <v>201</v>
      </c>
      <c r="DO22" s="3" t="s">
        <v>201</v>
      </c>
      <c r="DP22" s="3" t="s">
        <v>201</v>
      </c>
      <c r="DQ22" s="3" t="s">
        <v>201</v>
      </c>
      <c r="DR22">
        <f t="shared" si="0"/>
        <v>2016</v>
      </c>
    </row>
    <row r="23" spans="1:122" x14ac:dyDescent="0.35">
      <c r="A23" s="1">
        <f t="shared" si="1"/>
        <v>42644</v>
      </c>
      <c r="B23" s="2">
        <v>39</v>
      </c>
      <c r="C23" s="2">
        <v>75</v>
      </c>
      <c r="D23" s="2">
        <v>44</v>
      </c>
      <c r="E23" s="2">
        <v>39</v>
      </c>
      <c r="F23" s="2">
        <v>22</v>
      </c>
      <c r="G23" s="2">
        <v>23</v>
      </c>
      <c r="H23" s="2">
        <v>20</v>
      </c>
      <c r="I23" s="2">
        <v>13</v>
      </c>
      <c r="J23" s="2">
        <v>6</v>
      </c>
      <c r="K23" s="2">
        <v>14</v>
      </c>
      <c r="L23" s="2">
        <v>11</v>
      </c>
      <c r="M23" s="2">
        <v>9</v>
      </c>
      <c r="N23" s="3">
        <v>13</v>
      </c>
      <c r="O23" s="3">
        <v>11</v>
      </c>
      <c r="P23" s="3">
        <v>12</v>
      </c>
      <c r="Q23" s="3">
        <v>5</v>
      </c>
      <c r="R23" s="3">
        <v>5</v>
      </c>
      <c r="S23" s="3">
        <v>6</v>
      </c>
      <c r="T23" s="3">
        <v>6</v>
      </c>
      <c r="U23" s="3">
        <v>6</v>
      </c>
      <c r="V23" s="3">
        <v>4</v>
      </c>
      <c r="W23" s="3">
        <v>8</v>
      </c>
      <c r="X23" s="3">
        <v>8</v>
      </c>
      <c r="Y23" s="3">
        <v>6</v>
      </c>
      <c r="Z23" s="3">
        <v>4</v>
      </c>
      <c r="AA23" s="3">
        <v>2</v>
      </c>
      <c r="AB23" s="3">
        <v>6</v>
      </c>
      <c r="AC23" s="3">
        <v>6</v>
      </c>
      <c r="AD23" s="3">
        <v>3</v>
      </c>
      <c r="AE23" s="3">
        <v>5</v>
      </c>
      <c r="AF23" s="3">
        <v>4</v>
      </c>
      <c r="AG23" s="3">
        <v>5</v>
      </c>
      <c r="AH23" s="3">
        <v>3</v>
      </c>
      <c r="AI23" s="3">
        <v>5</v>
      </c>
      <c r="AJ23" s="3">
        <v>4</v>
      </c>
      <c r="AK23" s="3">
        <v>2</v>
      </c>
      <c r="AL23" s="3">
        <v>5</v>
      </c>
      <c r="AM23" s="3">
        <v>1</v>
      </c>
      <c r="AN23" s="3">
        <v>1</v>
      </c>
      <c r="AO23" s="3">
        <v>2</v>
      </c>
      <c r="AP23" s="3">
        <v>2</v>
      </c>
      <c r="AQ23" s="3">
        <v>3</v>
      </c>
      <c r="AR23" s="3">
        <v>1</v>
      </c>
      <c r="AS23" s="3">
        <v>4</v>
      </c>
      <c r="AT23" s="3">
        <v>5</v>
      </c>
      <c r="AU23" s="3">
        <v>1</v>
      </c>
      <c r="AV23" s="3">
        <v>1</v>
      </c>
      <c r="AW23" s="3">
        <v>4</v>
      </c>
      <c r="AX23" s="3">
        <v>5</v>
      </c>
      <c r="AY23" s="3">
        <v>4</v>
      </c>
      <c r="AZ23" s="3">
        <v>1</v>
      </c>
      <c r="BA23" s="3">
        <v>1</v>
      </c>
      <c r="BB23" s="3">
        <v>1</v>
      </c>
      <c r="BC23" s="3">
        <v>1</v>
      </c>
      <c r="BD23" s="3">
        <v>1</v>
      </c>
      <c r="BE23" s="3">
        <v>2</v>
      </c>
      <c r="BF23" s="3">
        <v>0</v>
      </c>
      <c r="BG23" s="3">
        <v>2</v>
      </c>
      <c r="BH23" s="3">
        <v>0</v>
      </c>
      <c r="BI23" s="3">
        <v>1</v>
      </c>
      <c r="BJ23" s="3">
        <v>3</v>
      </c>
      <c r="BK23" s="3">
        <v>2</v>
      </c>
      <c r="BL23" s="3">
        <v>1</v>
      </c>
      <c r="BM23" s="3">
        <v>1</v>
      </c>
      <c r="BN23" s="3">
        <v>3</v>
      </c>
      <c r="BO23" s="3">
        <v>2</v>
      </c>
      <c r="BP23" s="3">
        <v>1</v>
      </c>
      <c r="BQ23" s="3">
        <v>1</v>
      </c>
      <c r="BR23" s="3">
        <v>1</v>
      </c>
      <c r="BS23" s="3">
        <v>0</v>
      </c>
      <c r="BT23" s="3">
        <v>3</v>
      </c>
      <c r="BU23" s="3">
        <v>2</v>
      </c>
      <c r="BV23" s="3">
        <v>2</v>
      </c>
      <c r="BW23" s="3">
        <v>2</v>
      </c>
      <c r="BX23" s="3">
        <v>2</v>
      </c>
      <c r="BY23" s="3">
        <v>1</v>
      </c>
      <c r="BZ23" s="3">
        <v>1</v>
      </c>
      <c r="CA23" s="3">
        <v>0</v>
      </c>
      <c r="CB23" s="3">
        <v>1</v>
      </c>
      <c r="CC23" s="3">
        <v>2</v>
      </c>
      <c r="CD23" s="3">
        <v>1</v>
      </c>
      <c r="CE23" s="3">
        <v>2</v>
      </c>
      <c r="CF23" s="3">
        <v>0</v>
      </c>
      <c r="CG23" s="3">
        <v>1</v>
      </c>
      <c r="CH23" s="3">
        <v>2</v>
      </c>
      <c r="CI23" s="3">
        <v>0</v>
      </c>
      <c r="CJ23" s="3">
        <v>0</v>
      </c>
      <c r="CK23" s="3">
        <v>0</v>
      </c>
      <c r="CL23" s="3">
        <v>0</v>
      </c>
      <c r="CM23" s="3">
        <v>0</v>
      </c>
      <c r="CN23" s="3">
        <v>1</v>
      </c>
      <c r="CO23" s="3">
        <v>0</v>
      </c>
      <c r="CP23" s="3">
        <v>3</v>
      </c>
      <c r="CQ23" s="3">
        <v>0</v>
      </c>
      <c r="CR23" s="3">
        <v>1</v>
      </c>
      <c r="CS23" s="3">
        <v>1</v>
      </c>
      <c r="CT23" s="3">
        <v>0</v>
      </c>
      <c r="CU23" s="3">
        <v>0</v>
      </c>
      <c r="CV23" s="3">
        <v>1</v>
      </c>
      <c r="CW23" s="3" t="s">
        <v>201</v>
      </c>
      <c r="CX23" s="3" t="s">
        <v>201</v>
      </c>
      <c r="CY23" s="3" t="s">
        <v>201</v>
      </c>
      <c r="CZ23" s="3" t="s">
        <v>201</v>
      </c>
      <c r="DA23" s="3" t="s">
        <v>201</v>
      </c>
      <c r="DB23" s="3" t="s">
        <v>201</v>
      </c>
      <c r="DC23" s="3" t="s">
        <v>201</v>
      </c>
      <c r="DD23" s="3" t="s">
        <v>201</v>
      </c>
      <c r="DE23" s="3" t="s">
        <v>201</v>
      </c>
      <c r="DF23" s="3" t="s">
        <v>201</v>
      </c>
      <c r="DG23" s="3" t="s">
        <v>201</v>
      </c>
      <c r="DH23" s="3" t="s">
        <v>201</v>
      </c>
      <c r="DI23" s="3" t="s">
        <v>201</v>
      </c>
      <c r="DJ23" s="3" t="s">
        <v>201</v>
      </c>
      <c r="DK23" s="3" t="s">
        <v>201</v>
      </c>
      <c r="DL23" s="3" t="s">
        <v>201</v>
      </c>
      <c r="DM23" s="3" t="s">
        <v>201</v>
      </c>
      <c r="DN23" s="3" t="s">
        <v>201</v>
      </c>
      <c r="DO23" s="3" t="s">
        <v>201</v>
      </c>
      <c r="DP23" s="3" t="s">
        <v>201</v>
      </c>
      <c r="DQ23" s="3" t="s">
        <v>201</v>
      </c>
      <c r="DR23">
        <f t="shared" si="0"/>
        <v>2016</v>
      </c>
    </row>
    <row r="24" spans="1:122" x14ac:dyDescent="0.35">
      <c r="A24" s="1">
        <f t="shared" si="1"/>
        <v>42675</v>
      </c>
      <c r="B24" s="2">
        <v>38</v>
      </c>
      <c r="C24" s="2">
        <v>45</v>
      </c>
      <c r="D24" s="2">
        <v>41</v>
      </c>
      <c r="E24" s="2">
        <v>30</v>
      </c>
      <c r="F24" s="2">
        <v>25</v>
      </c>
      <c r="G24" s="2">
        <v>21</v>
      </c>
      <c r="H24" s="2">
        <v>16</v>
      </c>
      <c r="I24" s="2">
        <v>8</v>
      </c>
      <c r="J24" s="2">
        <v>14</v>
      </c>
      <c r="K24" s="2">
        <v>11</v>
      </c>
      <c r="L24" s="2">
        <v>13</v>
      </c>
      <c r="M24" s="2">
        <v>9</v>
      </c>
      <c r="N24" s="3">
        <v>9</v>
      </c>
      <c r="O24" s="3">
        <v>15</v>
      </c>
      <c r="P24" s="3">
        <v>7</v>
      </c>
      <c r="Q24" s="3">
        <v>9</v>
      </c>
      <c r="R24" s="3">
        <v>11</v>
      </c>
      <c r="S24" s="3">
        <v>11</v>
      </c>
      <c r="T24" s="3">
        <v>7</v>
      </c>
      <c r="U24" s="3">
        <v>6</v>
      </c>
      <c r="V24" s="3">
        <v>4</v>
      </c>
      <c r="W24" s="3">
        <v>5</v>
      </c>
      <c r="X24" s="3">
        <v>9</v>
      </c>
      <c r="Y24" s="3">
        <v>8</v>
      </c>
      <c r="Z24" s="3">
        <v>3</v>
      </c>
      <c r="AA24" s="3">
        <v>3</v>
      </c>
      <c r="AB24" s="3">
        <v>4</v>
      </c>
      <c r="AC24" s="3">
        <v>2</v>
      </c>
      <c r="AD24" s="3">
        <v>3</v>
      </c>
      <c r="AE24" s="3">
        <v>5</v>
      </c>
      <c r="AF24" s="3">
        <v>3</v>
      </c>
      <c r="AG24" s="3">
        <v>3</v>
      </c>
      <c r="AH24" s="3">
        <v>4</v>
      </c>
      <c r="AI24" s="3">
        <v>0</v>
      </c>
      <c r="AJ24" s="3">
        <v>4</v>
      </c>
      <c r="AK24" s="3">
        <v>2</v>
      </c>
      <c r="AL24" s="3">
        <v>2</v>
      </c>
      <c r="AM24" s="3">
        <v>1</v>
      </c>
      <c r="AN24" s="3">
        <v>2</v>
      </c>
      <c r="AO24" s="3">
        <v>2</v>
      </c>
      <c r="AP24" s="3">
        <v>3</v>
      </c>
      <c r="AQ24" s="3">
        <v>2</v>
      </c>
      <c r="AR24" s="3">
        <v>1</v>
      </c>
      <c r="AS24" s="3">
        <v>1</v>
      </c>
      <c r="AT24" s="3">
        <v>4</v>
      </c>
      <c r="AU24" s="3">
        <v>2</v>
      </c>
      <c r="AV24" s="3">
        <v>3</v>
      </c>
      <c r="AW24" s="3">
        <v>3</v>
      </c>
      <c r="AX24" s="3">
        <v>2</v>
      </c>
      <c r="AY24" s="3">
        <v>0</v>
      </c>
      <c r="AZ24" s="3">
        <v>2</v>
      </c>
      <c r="BA24" s="3">
        <v>0</v>
      </c>
      <c r="BB24" s="3">
        <v>1</v>
      </c>
      <c r="BC24" s="3">
        <v>2</v>
      </c>
      <c r="BD24" s="3">
        <v>2</v>
      </c>
      <c r="BE24" s="3">
        <v>1</v>
      </c>
      <c r="BF24" s="3">
        <v>0</v>
      </c>
      <c r="BG24" s="3">
        <v>1</v>
      </c>
      <c r="BH24" s="3">
        <v>1</v>
      </c>
      <c r="BI24" s="3">
        <v>2</v>
      </c>
      <c r="BJ24" s="3">
        <v>3</v>
      </c>
      <c r="BK24" s="3">
        <v>0</v>
      </c>
      <c r="BL24" s="3">
        <v>2</v>
      </c>
      <c r="BM24" s="3">
        <v>1</v>
      </c>
      <c r="BN24" s="3">
        <v>1</v>
      </c>
      <c r="BO24" s="3">
        <v>1</v>
      </c>
      <c r="BP24" s="3">
        <v>0</v>
      </c>
      <c r="BQ24" s="3">
        <v>1</v>
      </c>
      <c r="BR24" s="3">
        <v>3</v>
      </c>
      <c r="BS24" s="3">
        <v>0</v>
      </c>
      <c r="BT24" s="3">
        <v>2</v>
      </c>
      <c r="BU24" s="3">
        <v>1</v>
      </c>
      <c r="BV24" s="3">
        <v>1</v>
      </c>
      <c r="BW24" s="3">
        <v>0</v>
      </c>
      <c r="BX24" s="3">
        <v>0</v>
      </c>
      <c r="BY24" s="3">
        <v>3</v>
      </c>
      <c r="BZ24" s="3">
        <v>0</v>
      </c>
      <c r="CA24" s="3">
        <v>1</v>
      </c>
      <c r="CB24" s="3">
        <v>0</v>
      </c>
      <c r="CC24" s="3">
        <v>1</v>
      </c>
      <c r="CD24" s="3">
        <v>3</v>
      </c>
      <c r="CE24" s="3">
        <v>1</v>
      </c>
      <c r="CF24" s="3">
        <v>0</v>
      </c>
      <c r="CG24" s="3">
        <v>0</v>
      </c>
      <c r="CH24" s="3">
        <v>0</v>
      </c>
      <c r="CI24" s="3">
        <v>1</v>
      </c>
      <c r="CJ24" s="3">
        <v>0</v>
      </c>
      <c r="CK24" s="3">
        <v>2</v>
      </c>
      <c r="CL24" s="3">
        <v>2</v>
      </c>
      <c r="CM24" s="3">
        <v>1</v>
      </c>
      <c r="CN24" s="3">
        <v>1</v>
      </c>
      <c r="CO24" s="3">
        <v>0</v>
      </c>
      <c r="CP24" s="3">
        <v>1</v>
      </c>
      <c r="CQ24" s="3">
        <v>1</v>
      </c>
      <c r="CR24" s="3">
        <v>0</v>
      </c>
      <c r="CS24" s="3">
        <v>3</v>
      </c>
      <c r="CT24" s="3">
        <v>1</v>
      </c>
      <c r="CU24" s="3">
        <v>0</v>
      </c>
      <c r="CV24" s="3" t="s">
        <v>201</v>
      </c>
      <c r="CW24" s="3" t="s">
        <v>201</v>
      </c>
      <c r="CX24" s="3" t="s">
        <v>201</v>
      </c>
      <c r="CY24" s="3" t="s">
        <v>201</v>
      </c>
      <c r="CZ24" s="3" t="s">
        <v>201</v>
      </c>
      <c r="DA24" s="3" t="s">
        <v>201</v>
      </c>
      <c r="DB24" s="3" t="s">
        <v>201</v>
      </c>
      <c r="DC24" s="3" t="s">
        <v>201</v>
      </c>
      <c r="DD24" s="3" t="s">
        <v>201</v>
      </c>
      <c r="DE24" s="3" t="s">
        <v>201</v>
      </c>
      <c r="DF24" s="3" t="s">
        <v>201</v>
      </c>
      <c r="DG24" s="3" t="s">
        <v>201</v>
      </c>
      <c r="DH24" s="3" t="s">
        <v>201</v>
      </c>
      <c r="DI24" s="3" t="s">
        <v>201</v>
      </c>
      <c r="DJ24" s="3" t="s">
        <v>201</v>
      </c>
      <c r="DK24" s="3" t="s">
        <v>201</v>
      </c>
      <c r="DL24" s="3" t="s">
        <v>201</v>
      </c>
      <c r="DM24" s="3" t="s">
        <v>201</v>
      </c>
      <c r="DN24" s="3" t="s">
        <v>201</v>
      </c>
      <c r="DO24" s="3" t="s">
        <v>201</v>
      </c>
      <c r="DP24" s="3" t="s">
        <v>201</v>
      </c>
      <c r="DQ24" s="3" t="s">
        <v>201</v>
      </c>
      <c r="DR24">
        <f t="shared" si="0"/>
        <v>2016</v>
      </c>
    </row>
    <row r="25" spans="1:122" x14ac:dyDescent="0.35">
      <c r="A25" s="1">
        <f t="shared" si="1"/>
        <v>42705</v>
      </c>
      <c r="B25" s="2">
        <v>31</v>
      </c>
      <c r="C25" s="2">
        <v>62</v>
      </c>
      <c r="D25" s="2">
        <v>38</v>
      </c>
      <c r="E25" s="2">
        <v>28</v>
      </c>
      <c r="F25" s="2">
        <v>20</v>
      </c>
      <c r="G25" s="2">
        <v>17</v>
      </c>
      <c r="H25" s="2">
        <v>16</v>
      </c>
      <c r="I25" s="2">
        <v>16</v>
      </c>
      <c r="J25" s="2">
        <v>22</v>
      </c>
      <c r="K25" s="2">
        <v>9</v>
      </c>
      <c r="L25" s="2">
        <v>15</v>
      </c>
      <c r="M25" s="2">
        <v>13</v>
      </c>
      <c r="N25" s="3">
        <v>16</v>
      </c>
      <c r="O25" s="3">
        <v>8</v>
      </c>
      <c r="P25" s="3">
        <v>12</v>
      </c>
      <c r="Q25" s="3">
        <v>5</v>
      </c>
      <c r="R25" s="3">
        <v>8</v>
      </c>
      <c r="S25" s="3">
        <v>8</v>
      </c>
      <c r="T25" s="3">
        <v>5</v>
      </c>
      <c r="U25" s="3">
        <v>6</v>
      </c>
      <c r="V25" s="3">
        <v>10</v>
      </c>
      <c r="W25" s="3">
        <v>8</v>
      </c>
      <c r="X25" s="3">
        <v>4</v>
      </c>
      <c r="Y25" s="3">
        <v>5</v>
      </c>
      <c r="Z25" s="3">
        <v>7</v>
      </c>
      <c r="AA25" s="3">
        <v>5</v>
      </c>
      <c r="AB25" s="3">
        <v>3</v>
      </c>
      <c r="AC25" s="3">
        <v>3</v>
      </c>
      <c r="AD25" s="3">
        <v>3</v>
      </c>
      <c r="AE25" s="3">
        <v>6</v>
      </c>
      <c r="AF25" s="3">
        <v>2</v>
      </c>
      <c r="AG25" s="3">
        <v>5</v>
      </c>
      <c r="AH25" s="3">
        <v>1</v>
      </c>
      <c r="AI25" s="3">
        <v>4</v>
      </c>
      <c r="AJ25" s="3">
        <v>3</v>
      </c>
      <c r="AK25" s="3">
        <v>2</v>
      </c>
      <c r="AL25" s="3">
        <v>3</v>
      </c>
      <c r="AM25" s="3">
        <v>2</v>
      </c>
      <c r="AN25" s="3">
        <v>2</v>
      </c>
      <c r="AO25" s="3">
        <v>1</v>
      </c>
      <c r="AP25" s="3">
        <v>4</v>
      </c>
      <c r="AQ25" s="3">
        <v>3</v>
      </c>
      <c r="AR25" s="3">
        <v>0</v>
      </c>
      <c r="AS25" s="3">
        <v>1</v>
      </c>
      <c r="AT25" s="3">
        <v>1</v>
      </c>
      <c r="AU25" s="3">
        <v>1</v>
      </c>
      <c r="AV25" s="3">
        <v>1</v>
      </c>
      <c r="AW25" s="3">
        <v>9</v>
      </c>
      <c r="AX25" s="3">
        <v>2</v>
      </c>
      <c r="AY25" s="3">
        <v>1</v>
      </c>
      <c r="AZ25" s="3">
        <v>1</v>
      </c>
      <c r="BA25" s="3">
        <v>2</v>
      </c>
      <c r="BB25" s="3">
        <v>0</v>
      </c>
      <c r="BC25" s="3">
        <v>1</v>
      </c>
      <c r="BD25" s="3">
        <v>3</v>
      </c>
      <c r="BE25" s="3">
        <v>0</v>
      </c>
      <c r="BF25" s="3">
        <v>2</v>
      </c>
      <c r="BG25" s="3">
        <v>0</v>
      </c>
      <c r="BH25" s="3">
        <v>2</v>
      </c>
      <c r="BI25" s="3">
        <v>3</v>
      </c>
      <c r="BJ25" s="3">
        <v>2</v>
      </c>
      <c r="BK25" s="3">
        <v>1</v>
      </c>
      <c r="BL25" s="3">
        <v>3</v>
      </c>
      <c r="BM25" s="3">
        <v>2</v>
      </c>
      <c r="BN25" s="3">
        <v>1</v>
      </c>
      <c r="BO25" s="3">
        <v>1</v>
      </c>
      <c r="BP25" s="3">
        <v>1</v>
      </c>
      <c r="BQ25" s="3">
        <v>4</v>
      </c>
      <c r="BR25" s="3">
        <v>0</v>
      </c>
      <c r="BS25" s="3">
        <v>0</v>
      </c>
      <c r="BT25" s="3">
        <v>6</v>
      </c>
      <c r="BU25" s="3">
        <v>2</v>
      </c>
      <c r="BV25" s="3">
        <v>1</v>
      </c>
      <c r="BW25" s="3">
        <v>1</v>
      </c>
      <c r="BX25" s="3">
        <v>2</v>
      </c>
      <c r="BY25" s="3">
        <v>2</v>
      </c>
      <c r="BZ25" s="3">
        <v>2</v>
      </c>
      <c r="CA25" s="3">
        <v>1</v>
      </c>
      <c r="CB25" s="3">
        <v>1</v>
      </c>
      <c r="CC25" s="3">
        <v>2</v>
      </c>
      <c r="CD25" s="3">
        <v>0</v>
      </c>
      <c r="CE25" s="3">
        <v>1</v>
      </c>
      <c r="CF25" s="3">
        <v>1</v>
      </c>
      <c r="CG25" s="3">
        <v>1</v>
      </c>
      <c r="CH25" s="3">
        <v>0</v>
      </c>
      <c r="CI25" s="3">
        <v>1</v>
      </c>
      <c r="CJ25" s="3">
        <v>2</v>
      </c>
      <c r="CK25" s="3">
        <v>0</v>
      </c>
      <c r="CL25" s="3">
        <v>0</v>
      </c>
      <c r="CM25" s="3">
        <v>0</v>
      </c>
      <c r="CN25" s="3">
        <v>1</v>
      </c>
      <c r="CO25" s="3">
        <v>1</v>
      </c>
      <c r="CP25" s="3">
        <v>0</v>
      </c>
      <c r="CQ25" s="3">
        <v>0</v>
      </c>
      <c r="CR25" s="3">
        <v>1</v>
      </c>
      <c r="CS25" s="3">
        <v>2</v>
      </c>
      <c r="CT25" s="3">
        <v>0</v>
      </c>
      <c r="CU25" s="3" t="s">
        <v>201</v>
      </c>
      <c r="CV25" s="3" t="s">
        <v>201</v>
      </c>
      <c r="CW25" s="3" t="s">
        <v>201</v>
      </c>
      <c r="CX25" s="3" t="s">
        <v>201</v>
      </c>
      <c r="CY25" s="3" t="s">
        <v>201</v>
      </c>
      <c r="CZ25" s="3" t="s">
        <v>201</v>
      </c>
      <c r="DA25" s="3" t="s">
        <v>201</v>
      </c>
      <c r="DB25" s="3" t="s">
        <v>201</v>
      </c>
      <c r="DC25" s="3" t="s">
        <v>201</v>
      </c>
      <c r="DD25" s="3" t="s">
        <v>201</v>
      </c>
      <c r="DE25" s="3" t="s">
        <v>201</v>
      </c>
      <c r="DF25" s="3" t="s">
        <v>201</v>
      </c>
      <c r="DG25" s="3" t="s">
        <v>201</v>
      </c>
      <c r="DH25" s="3" t="s">
        <v>201</v>
      </c>
      <c r="DI25" s="3" t="s">
        <v>201</v>
      </c>
      <c r="DJ25" s="3" t="s">
        <v>201</v>
      </c>
      <c r="DK25" s="3" t="s">
        <v>201</v>
      </c>
      <c r="DL25" s="3" t="s">
        <v>201</v>
      </c>
      <c r="DM25" s="3" t="s">
        <v>201</v>
      </c>
      <c r="DN25" s="3" t="s">
        <v>201</v>
      </c>
      <c r="DO25" s="3" t="s">
        <v>201</v>
      </c>
      <c r="DP25" s="3" t="s">
        <v>201</v>
      </c>
      <c r="DQ25" s="3" t="s">
        <v>201</v>
      </c>
      <c r="DR25">
        <f t="shared" si="0"/>
        <v>2016</v>
      </c>
    </row>
    <row r="26" spans="1:122" x14ac:dyDescent="0.35">
      <c r="A26" s="4">
        <f t="shared" si="1"/>
        <v>42736</v>
      </c>
      <c r="B26" s="5">
        <v>44</v>
      </c>
      <c r="C26" s="5">
        <v>66</v>
      </c>
      <c r="D26" s="5">
        <v>40</v>
      </c>
      <c r="E26" s="5">
        <v>41</v>
      </c>
      <c r="F26" s="5">
        <v>30</v>
      </c>
      <c r="G26" s="5">
        <v>23</v>
      </c>
      <c r="H26" s="5">
        <v>25</v>
      </c>
      <c r="I26" s="5">
        <v>18</v>
      </c>
      <c r="J26" s="5">
        <v>17</v>
      </c>
      <c r="K26" s="5">
        <v>21</v>
      </c>
      <c r="L26" s="5">
        <v>18</v>
      </c>
      <c r="M26" s="5">
        <v>10</v>
      </c>
      <c r="N26" s="5">
        <v>11</v>
      </c>
      <c r="O26" s="5">
        <v>15</v>
      </c>
      <c r="P26" s="5">
        <v>16</v>
      </c>
      <c r="Q26" s="5">
        <v>11</v>
      </c>
      <c r="R26" s="5">
        <v>10</v>
      </c>
      <c r="S26" s="5">
        <v>8</v>
      </c>
      <c r="T26" s="5">
        <v>6</v>
      </c>
      <c r="U26" s="5">
        <v>6</v>
      </c>
      <c r="V26" s="5">
        <v>6</v>
      </c>
      <c r="W26" s="5">
        <v>6</v>
      </c>
      <c r="X26" s="5">
        <v>4</v>
      </c>
      <c r="Y26" s="5">
        <v>4</v>
      </c>
      <c r="Z26" s="5">
        <v>6</v>
      </c>
      <c r="AA26" s="5">
        <v>4</v>
      </c>
      <c r="AB26" s="5">
        <v>4</v>
      </c>
      <c r="AC26" s="5">
        <v>4</v>
      </c>
      <c r="AD26" s="5">
        <v>3</v>
      </c>
      <c r="AE26" s="5">
        <v>5</v>
      </c>
      <c r="AF26" s="5">
        <v>3</v>
      </c>
      <c r="AG26" s="5">
        <v>5</v>
      </c>
      <c r="AH26" s="5">
        <v>2</v>
      </c>
      <c r="AI26" s="5">
        <v>7</v>
      </c>
      <c r="AJ26" s="5">
        <v>6</v>
      </c>
      <c r="AK26" s="5">
        <v>3</v>
      </c>
      <c r="AL26" s="5">
        <v>2</v>
      </c>
      <c r="AM26" s="5">
        <v>3</v>
      </c>
      <c r="AN26" s="5">
        <v>5</v>
      </c>
      <c r="AO26" s="5">
        <v>2</v>
      </c>
      <c r="AP26" s="5">
        <v>2</v>
      </c>
      <c r="AQ26" s="5">
        <v>2</v>
      </c>
      <c r="AR26" s="5">
        <v>2</v>
      </c>
      <c r="AS26" s="5">
        <v>1</v>
      </c>
      <c r="AT26" s="5">
        <v>2</v>
      </c>
      <c r="AU26" s="5">
        <v>1</v>
      </c>
      <c r="AV26" s="5">
        <v>1</v>
      </c>
      <c r="AW26" s="5">
        <v>0</v>
      </c>
      <c r="AX26" s="5">
        <v>3</v>
      </c>
      <c r="AY26" s="5">
        <v>0</v>
      </c>
      <c r="AZ26" s="5">
        <v>3</v>
      </c>
      <c r="BA26" s="5">
        <v>4</v>
      </c>
      <c r="BB26" s="5">
        <v>2</v>
      </c>
      <c r="BC26" s="5">
        <v>2</v>
      </c>
      <c r="BD26" s="5">
        <v>1</v>
      </c>
      <c r="BE26" s="5">
        <v>0</v>
      </c>
      <c r="BF26" s="5">
        <v>1</v>
      </c>
      <c r="BG26" s="5">
        <v>3</v>
      </c>
      <c r="BH26" s="5">
        <v>3</v>
      </c>
      <c r="BI26" s="5">
        <v>2</v>
      </c>
      <c r="BJ26" s="5">
        <v>0</v>
      </c>
      <c r="BK26" s="5">
        <v>2</v>
      </c>
      <c r="BL26" s="5">
        <v>1</v>
      </c>
      <c r="BM26" s="5">
        <v>2</v>
      </c>
      <c r="BN26" s="5">
        <v>1</v>
      </c>
      <c r="BO26" s="5">
        <v>1</v>
      </c>
      <c r="BP26" s="5">
        <v>0</v>
      </c>
      <c r="BQ26" s="5">
        <v>1</v>
      </c>
      <c r="BR26" s="5">
        <v>0</v>
      </c>
      <c r="BS26" s="5">
        <v>3</v>
      </c>
      <c r="BT26" s="5">
        <v>0</v>
      </c>
      <c r="BU26" s="5">
        <v>0</v>
      </c>
      <c r="BV26" s="5">
        <v>0</v>
      </c>
      <c r="BW26" s="5">
        <v>3</v>
      </c>
      <c r="BX26" s="5">
        <v>0</v>
      </c>
      <c r="BY26" s="5">
        <v>2</v>
      </c>
      <c r="BZ26" s="5">
        <v>2</v>
      </c>
      <c r="CA26" s="5">
        <v>1</v>
      </c>
      <c r="CB26" s="5">
        <v>2</v>
      </c>
      <c r="CC26" s="5">
        <v>0</v>
      </c>
      <c r="CD26" s="5">
        <v>3</v>
      </c>
      <c r="CE26" s="5">
        <v>1</v>
      </c>
      <c r="CF26" s="5">
        <v>2</v>
      </c>
      <c r="CG26" s="5">
        <v>1</v>
      </c>
      <c r="CH26" s="5">
        <v>2</v>
      </c>
      <c r="CI26" s="5">
        <v>0</v>
      </c>
      <c r="CJ26" s="5">
        <v>0</v>
      </c>
      <c r="CK26" s="5">
        <v>2</v>
      </c>
      <c r="CL26" s="5">
        <v>0</v>
      </c>
      <c r="CM26" s="5">
        <v>1</v>
      </c>
      <c r="CN26" s="5">
        <v>0</v>
      </c>
      <c r="CO26" s="5">
        <v>1</v>
      </c>
      <c r="CP26" s="5">
        <v>1</v>
      </c>
      <c r="CQ26" s="5">
        <v>1</v>
      </c>
      <c r="CR26" s="5">
        <v>2</v>
      </c>
      <c r="CS26" s="5">
        <v>0</v>
      </c>
      <c r="CT26" s="5" t="s">
        <v>201</v>
      </c>
      <c r="CU26" s="5" t="s">
        <v>201</v>
      </c>
      <c r="CV26" s="5" t="s">
        <v>201</v>
      </c>
      <c r="CW26" s="5" t="s">
        <v>201</v>
      </c>
      <c r="CX26" s="5" t="s">
        <v>201</v>
      </c>
      <c r="CY26" s="5" t="s">
        <v>201</v>
      </c>
      <c r="CZ26" s="5" t="s">
        <v>201</v>
      </c>
      <c r="DA26" s="5" t="s">
        <v>201</v>
      </c>
      <c r="DB26" s="5" t="s">
        <v>201</v>
      </c>
      <c r="DC26" s="5" t="s">
        <v>201</v>
      </c>
      <c r="DD26" s="5" t="s">
        <v>201</v>
      </c>
      <c r="DE26" s="5" t="s">
        <v>201</v>
      </c>
      <c r="DF26" s="5" t="s">
        <v>201</v>
      </c>
      <c r="DG26" s="5" t="s">
        <v>201</v>
      </c>
      <c r="DH26" s="5" t="s">
        <v>201</v>
      </c>
      <c r="DI26" s="5" t="s">
        <v>201</v>
      </c>
      <c r="DJ26" s="5" t="s">
        <v>201</v>
      </c>
      <c r="DK26" s="5" t="s">
        <v>201</v>
      </c>
      <c r="DL26" s="5" t="s">
        <v>201</v>
      </c>
      <c r="DM26" s="5" t="s">
        <v>201</v>
      </c>
      <c r="DN26" s="5" t="s">
        <v>201</v>
      </c>
      <c r="DO26" s="5" t="s">
        <v>201</v>
      </c>
      <c r="DP26" s="5" t="s">
        <v>201</v>
      </c>
      <c r="DQ26" s="5" t="s">
        <v>201</v>
      </c>
      <c r="DR26">
        <f t="shared" si="0"/>
        <v>2017</v>
      </c>
    </row>
    <row r="27" spans="1:122" x14ac:dyDescent="0.35">
      <c r="A27" s="1">
        <f t="shared" si="1"/>
        <v>42767</v>
      </c>
      <c r="B27" s="2">
        <v>40</v>
      </c>
      <c r="C27" s="2">
        <v>55</v>
      </c>
      <c r="D27" s="2">
        <v>40</v>
      </c>
      <c r="E27" s="2">
        <v>34</v>
      </c>
      <c r="F27" s="2">
        <v>18</v>
      </c>
      <c r="G27" s="2">
        <v>21</v>
      </c>
      <c r="H27" s="2">
        <v>26</v>
      </c>
      <c r="I27" s="2">
        <v>13</v>
      </c>
      <c r="J27" s="2">
        <v>23</v>
      </c>
      <c r="K27" s="2">
        <v>16</v>
      </c>
      <c r="L27" s="2">
        <v>17</v>
      </c>
      <c r="M27" s="2">
        <v>17</v>
      </c>
      <c r="N27" s="3">
        <v>18</v>
      </c>
      <c r="O27" s="3">
        <v>11</v>
      </c>
      <c r="P27" s="3">
        <v>13</v>
      </c>
      <c r="Q27" s="3">
        <v>4</v>
      </c>
      <c r="R27" s="3">
        <v>6</v>
      </c>
      <c r="S27" s="3">
        <v>11</v>
      </c>
      <c r="T27" s="3">
        <v>5</v>
      </c>
      <c r="U27" s="3">
        <v>12</v>
      </c>
      <c r="V27" s="3">
        <v>7</v>
      </c>
      <c r="W27" s="3">
        <v>7</v>
      </c>
      <c r="X27" s="3">
        <v>9</v>
      </c>
      <c r="Y27" s="3">
        <v>4</v>
      </c>
      <c r="Z27" s="3">
        <v>11</v>
      </c>
      <c r="AA27" s="3">
        <v>7</v>
      </c>
      <c r="AB27" s="3">
        <v>7</v>
      </c>
      <c r="AC27" s="3">
        <v>4</v>
      </c>
      <c r="AD27" s="3">
        <v>8</v>
      </c>
      <c r="AE27" s="3">
        <v>6</v>
      </c>
      <c r="AF27" s="3">
        <v>4</v>
      </c>
      <c r="AG27" s="3">
        <v>7</v>
      </c>
      <c r="AH27" s="3">
        <v>2</v>
      </c>
      <c r="AI27" s="3">
        <v>3</v>
      </c>
      <c r="AJ27" s="3">
        <v>3</v>
      </c>
      <c r="AK27" s="3">
        <v>4</v>
      </c>
      <c r="AL27" s="3">
        <v>1</v>
      </c>
      <c r="AM27" s="3">
        <v>4</v>
      </c>
      <c r="AN27" s="3">
        <v>3</v>
      </c>
      <c r="AO27" s="3">
        <v>3</v>
      </c>
      <c r="AP27" s="3">
        <v>3</v>
      </c>
      <c r="AQ27" s="3">
        <v>4</v>
      </c>
      <c r="AR27" s="3">
        <v>4</v>
      </c>
      <c r="AS27" s="3">
        <v>0</v>
      </c>
      <c r="AT27" s="3">
        <v>4</v>
      </c>
      <c r="AU27" s="3">
        <v>4</v>
      </c>
      <c r="AV27" s="3">
        <v>5</v>
      </c>
      <c r="AW27" s="3">
        <v>1</v>
      </c>
      <c r="AX27" s="3">
        <v>2</v>
      </c>
      <c r="AY27" s="3">
        <v>4</v>
      </c>
      <c r="AZ27" s="3">
        <v>2</v>
      </c>
      <c r="BA27" s="3">
        <v>1</v>
      </c>
      <c r="BB27" s="3">
        <v>1</v>
      </c>
      <c r="BC27" s="3">
        <v>3</v>
      </c>
      <c r="BD27" s="3">
        <v>2</v>
      </c>
      <c r="BE27" s="3">
        <v>3</v>
      </c>
      <c r="BF27" s="3">
        <v>3</v>
      </c>
      <c r="BG27" s="3">
        <v>4</v>
      </c>
      <c r="BH27" s="3">
        <v>2</v>
      </c>
      <c r="BI27" s="3">
        <v>2</v>
      </c>
      <c r="BJ27" s="3">
        <v>4</v>
      </c>
      <c r="BK27" s="3">
        <v>3</v>
      </c>
      <c r="BL27" s="3">
        <v>1</v>
      </c>
      <c r="BM27" s="3">
        <v>1</v>
      </c>
      <c r="BN27" s="3">
        <v>3</v>
      </c>
      <c r="BO27" s="3">
        <v>2</v>
      </c>
      <c r="BP27" s="3">
        <v>2</v>
      </c>
      <c r="BQ27" s="3">
        <v>0</v>
      </c>
      <c r="BR27" s="3">
        <v>1</v>
      </c>
      <c r="BS27" s="3">
        <v>2</v>
      </c>
      <c r="BT27" s="3">
        <v>4</v>
      </c>
      <c r="BU27" s="3">
        <v>1</v>
      </c>
      <c r="BV27" s="3">
        <v>1</v>
      </c>
      <c r="BW27" s="3">
        <v>2</v>
      </c>
      <c r="BX27" s="3">
        <v>2</v>
      </c>
      <c r="BY27" s="3">
        <v>1</v>
      </c>
      <c r="BZ27" s="3">
        <v>0</v>
      </c>
      <c r="CA27" s="3">
        <v>0</v>
      </c>
      <c r="CB27" s="3">
        <v>0</v>
      </c>
      <c r="CC27" s="3">
        <v>3</v>
      </c>
      <c r="CD27" s="3">
        <v>1</v>
      </c>
      <c r="CE27" s="3">
        <v>1</v>
      </c>
      <c r="CF27" s="3">
        <v>1</v>
      </c>
      <c r="CG27" s="3">
        <v>1</v>
      </c>
      <c r="CH27" s="3">
        <v>1</v>
      </c>
      <c r="CI27" s="3">
        <v>1</v>
      </c>
      <c r="CJ27" s="3">
        <v>0</v>
      </c>
      <c r="CK27" s="3">
        <v>0</v>
      </c>
      <c r="CL27" s="3">
        <v>1</v>
      </c>
      <c r="CM27" s="3">
        <v>0</v>
      </c>
      <c r="CN27" s="3">
        <v>0</v>
      </c>
      <c r="CO27" s="3">
        <v>2</v>
      </c>
      <c r="CP27" s="3">
        <v>1</v>
      </c>
      <c r="CQ27" s="3">
        <v>0</v>
      </c>
      <c r="CR27" s="3">
        <v>0</v>
      </c>
      <c r="CS27" s="3" t="s">
        <v>201</v>
      </c>
      <c r="CT27" s="3" t="s">
        <v>201</v>
      </c>
      <c r="CU27" s="3" t="s">
        <v>201</v>
      </c>
      <c r="CV27" s="3" t="s">
        <v>201</v>
      </c>
      <c r="CW27" s="3" t="s">
        <v>201</v>
      </c>
      <c r="CX27" s="3" t="s">
        <v>201</v>
      </c>
      <c r="CY27" s="3" t="s">
        <v>201</v>
      </c>
      <c r="CZ27" s="3" t="s">
        <v>201</v>
      </c>
      <c r="DA27" s="3" t="s">
        <v>201</v>
      </c>
      <c r="DB27" s="3" t="s">
        <v>201</v>
      </c>
      <c r="DC27" s="3" t="s">
        <v>201</v>
      </c>
      <c r="DD27" s="3" t="s">
        <v>201</v>
      </c>
      <c r="DE27" s="3" t="s">
        <v>201</v>
      </c>
      <c r="DF27" s="3" t="s">
        <v>201</v>
      </c>
      <c r="DG27" s="3" t="s">
        <v>201</v>
      </c>
      <c r="DH27" s="3" t="s">
        <v>201</v>
      </c>
      <c r="DI27" s="3" t="s">
        <v>201</v>
      </c>
      <c r="DJ27" s="3" t="s">
        <v>201</v>
      </c>
      <c r="DK27" s="3" t="s">
        <v>201</v>
      </c>
      <c r="DL27" s="3" t="s">
        <v>201</v>
      </c>
      <c r="DM27" s="3" t="s">
        <v>201</v>
      </c>
      <c r="DN27" s="3" t="s">
        <v>201</v>
      </c>
      <c r="DO27" s="3" t="s">
        <v>201</v>
      </c>
      <c r="DP27" s="3" t="s">
        <v>201</v>
      </c>
      <c r="DQ27" s="3" t="s">
        <v>201</v>
      </c>
      <c r="DR27">
        <f t="shared" si="0"/>
        <v>2017</v>
      </c>
    </row>
    <row r="28" spans="1:122" x14ac:dyDescent="0.35">
      <c r="A28" s="1">
        <f t="shared" si="1"/>
        <v>42795</v>
      </c>
      <c r="B28" s="2">
        <v>47</v>
      </c>
      <c r="C28" s="2">
        <v>49</v>
      </c>
      <c r="D28" s="2">
        <v>39</v>
      </c>
      <c r="E28" s="2">
        <v>29</v>
      </c>
      <c r="F28" s="2">
        <v>30</v>
      </c>
      <c r="G28" s="2">
        <v>31</v>
      </c>
      <c r="H28" s="2">
        <v>24</v>
      </c>
      <c r="I28" s="2">
        <v>29</v>
      </c>
      <c r="J28" s="2">
        <v>12</v>
      </c>
      <c r="K28" s="2">
        <v>13</v>
      </c>
      <c r="L28" s="2">
        <v>19</v>
      </c>
      <c r="M28" s="2">
        <v>10</v>
      </c>
      <c r="N28" s="3">
        <v>15</v>
      </c>
      <c r="O28" s="3">
        <v>16</v>
      </c>
      <c r="P28" s="3">
        <v>18</v>
      </c>
      <c r="Q28" s="3">
        <v>14</v>
      </c>
      <c r="R28" s="3">
        <v>6</v>
      </c>
      <c r="S28" s="3">
        <v>8</v>
      </c>
      <c r="T28" s="3">
        <v>5</v>
      </c>
      <c r="U28" s="3">
        <v>13</v>
      </c>
      <c r="V28" s="3">
        <v>2</v>
      </c>
      <c r="W28" s="3">
        <v>7</v>
      </c>
      <c r="X28" s="3">
        <v>8</v>
      </c>
      <c r="Y28" s="3">
        <v>4</v>
      </c>
      <c r="Z28" s="3">
        <v>9</v>
      </c>
      <c r="AA28" s="3">
        <v>3</v>
      </c>
      <c r="AB28" s="3">
        <v>6</v>
      </c>
      <c r="AC28" s="3">
        <v>4</v>
      </c>
      <c r="AD28" s="3">
        <v>7</v>
      </c>
      <c r="AE28" s="3">
        <v>3</v>
      </c>
      <c r="AF28" s="3">
        <v>6</v>
      </c>
      <c r="AG28" s="3">
        <v>5</v>
      </c>
      <c r="AH28" s="3">
        <v>4</v>
      </c>
      <c r="AI28" s="3">
        <v>2</v>
      </c>
      <c r="AJ28" s="3">
        <v>2</v>
      </c>
      <c r="AK28" s="3">
        <v>2</v>
      </c>
      <c r="AL28" s="3">
        <v>4</v>
      </c>
      <c r="AM28" s="3">
        <v>3</v>
      </c>
      <c r="AN28" s="3">
        <v>1</v>
      </c>
      <c r="AO28" s="3">
        <v>0</v>
      </c>
      <c r="AP28" s="3">
        <v>6</v>
      </c>
      <c r="AQ28" s="3">
        <v>2</v>
      </c>
      <c r="AR28" s="3">
        <v>5</v>
      </c>
      <c r="AS28" s="3">
        <v>2</v>
      </c>
      <c r="AT28" s="3">
        <v>2</v>
      </c>
      <c r="AU28" s="3">
        <v>1</v>
      </c>
      <c r="AV28" s="3">
        <v>3</v>
      </c>
      <c r="AW28" s="3">
        <v>2</v>
      </c>
      <c r="AX28" s="3">
        <v>3</v>
      </c>
      <c r="AY28" s="3">
        <v>1</v>
      </c>
      <c r="AZ28" s="3">
        <v>3</v>
      </c>
      <c r="BA28" s="3">
        <v>2</v>
      </c>
      <c r="BB28" s="3">
        <v>1</v>
      </c>
      <c r="BC28" s="3">
        <v>0</v>
      </c>
      <c r="BD28" s="3">
        <v>4</v>
      </c>
      <c r="BE28" s="3">
        <v>1</v>
      </c>
      <c r="BF28" s="3">
        <v>1</v>
      </c>
      <c r="BG28" s="3">
        <v>0</v>
      </c>
      <c r="BH28" s="3">
        <v>0</v>
      </c>
      <c r="BI28" s="3">
        <v>0</v>
      </c>
      <c r="BJ28" s="3">
        <v>1</v>
      </c>
      <c r="BK28" s="3">
        <v>2</v>
      </c>
      <c r="BL28" s="3">
        <v>4</v>
      </c>
      <c r="BM28" s="3">
        <v>2</v>
      </c>
      <c r="BN28" s="3">
        <v>4</v>
      </c>
      <c r="BO28" s="3">
        <v>2</v>
      </c>
      <c r="BP28" s="3">
        <v>1</v>
      </c>
      <c r="BQ28" s="3">
        <v>1</v>
      </c>
      <c r="BR28" s="3">
        <v>1</v>
      </c>
      <c r="BS28" s="3">
        <v>0</v>
      </c>
      <c r="BT28" s="3">
        <v>0</v>
      </c>
      <c r="BU28" s="3">
        <v>1</v>
      </c>
      <c r="BV28" s="3">
        <v>1</v>
      </c>
      <c r="BW28" s="3">
        <v>1</v>
      </c>
      <c r="BX28" s="3">
        <v>0</v>
      </c>
      <c r="BY28" s="3">
        <v>0</v>
      </c>
      <c r="BZ28" s="3">
        <v>0</v>
      </c>
      <c r="CA28" s="3">
        <v>1</v>
      </c>
      <c r="CB28" s="3">
        <v>2</v>
      </c>
      <c r="CC28" s="3">
        <v>1</v>
      </c>
      <c r="CD28" s="3">
        <v>1</v>
      </c>
      <c r="CE28" s="3">
        <v>1</v>
      </c>
      <c r="CF28" s="3">
        <v>2</v>
      </c>
      <c r="CG28" s="3">
        <v>0</v>
      </c>
      <c r="CH28" s="3">
        <v>1</v>
      </c>
      <c r="CI28" s="3">
        <v>2</v>
      </c>
      <c r="CJ28" s="3">
        <v>0</v>
      </c>
      <c r="CK28" s="3">
        <v>2</v>
      </c>
      <c r="CL28" s="3">
        <v>1</v>
      </c>
      <c r="CM28" s="3">
        <v>0</v>
      </c>
      <c r="CN28" s="3">
        <v>0</v>
      </c>
      <c r="CO28" s="3">
        <v>1</v>
      </c>
      <c r="CP28" s="3">
        <v>0</v>
      </c>
      <c r="CQ28" s="3">
        <v>0</v>
      </c>
      <c r="CR28" s="3" t="s">
        <v>201</v>
      </c>
      <c r="CS28" s="3" t="s">
        <v>201</v>
      </c>
      <c r="CT28" s="3" t="s">
        <v>201</v>
      </c>
      <c r="CU28" s="3" t="s">
        <v>201</v>
      </c>
      <c r="CV28" s="3" t="s">
        <v>201</v>
      </c>
      <c r="CW28" s="3" t="s">
        <v>201</v>
      </c>
      <c r="CX28" s="3" t="s">
        <v>201</v>
      </c>
      <c r="CY28" s="3" t="s">
        <v>201</v>
      </c>
      <c r="CZ28" s="3" t="s">
        <v>201</v>
      </c>
      <c r="DA28" s="3" t="s">
        <v>201</v>
      </c>
      <c r="DB28" s="3" t="s">
        <v>201</v>
      </c>
      <c r="DC28" s="3" t="s">
        <v>201</v>
      </c>
      <c r="DD28" s="3" t="s">
        <v>201</v>
      </c>
      <c r="DE28" s="3" t="s">
        <v>201</v>
      </c>
      <c r="DF28" s="3" t="s">
        <v>201</v>
      </c>
      <c r="DG28" s="3" t="s">
        <v>201</v>
      </c>
      <c r="DH28" s="3" t="s">
        <v>201</v>
      </c>
      <c r="DI28" s="3" t="s">
        <v>201</v>
      </c>
      <c r="DJ28" s="3" t="s">
        <v>201</v>
      </c>
      <c r="DK28" s="3" t="s">
        <v>201</v>
      </c>
      <c r="DL28" s="3" t="s">
        <v>201</v>
      </c>
      <c r="DM28" s="3" t="s">
        <v>201</v>
      </c>
      <c r="DN28" s="3" t="s">
        <v>201</v>
      </c>
      <c r="DO28" s="3" t="s">
        <v>201</v>
      </c>
      <c r="DP28" s="3" t="s">
        <v>201</v>
      </c>
      <c r="DQ28" s="3" t="s">
        <v>201</v>
      </c>
      <c r="DR28">
        <f t="shared" si="0"/>
        <v>2017</v>
      </c>
    </row>
    <row r="29" spans="1:122" x14ac:dyDescent="0.35">
      <c r="A29" s="1">
        <f t="shared" si="1"/>
        <v>42826</v>
      </c>
      <c r="B29" s="2">
        <v>61</v>
      </c>
      <c r="C29" s="2">
        <v>91</v>
      </c>
      <c r="D29" s="2">
        <v>46</v>
      </c>
      <c r="E29" s="2">
        <v>46</v>
      </c>
      <c r="F29" s="2">
        <v>44</v>
      </c>
      <c r="G29" s="2">
        <v>32</v>
      </c>
      <c r="H29" s="2">
        <v>29</v>
      </c>
      <c r="I29" s="2">
        <v>20</v>
      </c>
      <c r="J29" s="2">
        <v>27</v>
      </c>
      <c r="K29" s="2">
        <v>25</v>
      </c>
      <c r="L29" s="2">
        <v>24</v>
      </c>
      <c r="M29" s="2">
        <v>20</v>
      </c>
      <c r="N29" s="3">
        <v>28</v>
      </c>
      <c r="O29" s="3">
        <v>19</v>
      </c>
      <c r="P29" s="3">
        <v>11</v>
      </c>
      <c r="Q29" s="3">
        <v>17</v>
      </c>
      <c r="R29" s="3">
        <v>19</v>
      </c>
      <c r="S29" s="3">
        <v>12</v>
      </c>
      <c r="T29" s="3">
        <v>8</v>
      </c>
      <c r="U29" s="3">
        <v>11</v>
      </c>
      <c r="V29" s="3">
        <v>12</v>
      </c>
      <c r="W29" s="3">
        <v>7</v>
      </c>
      <c r="X29" s="3">
        <v>11</v>
      </c>
      <c r="Y29" s="3">
        <v>3</v>
      </c>
      <c r="Z29" s="3">
        <v>7</v>
      </c>
      <c r="AA29" s="3">
        <v>11</v>
      </c>
      <c r="AB29" s="3">
        <v>6</v>
      </c>
      <c r="AC29" s="3">
        <v>8</v>
      </c>
      <c r="AD29" s="3">
        <v>8</v>
      </c>
      <c r="AE29" s="3">
        <v>6</v>
      </c>
      <c r="AF29" s="3">
        <v>6</v>
      </c>
      <c r="AG29" s="3">
        <v>5</v>
      </c>
      <c r="AH29" s="3">
        <v>5</v>
      </c>
      <c r="AI29" s="3">
        <v>3</v>
      </c>
      <c r="AJ29" s="3">
        <v>8</v>
      </c>
      <c r="AK29" s="3">
        <v>6</v>
      </c>
      <c r="AL29" s="3">
        <v>5</v>
      </c>
      <c r="AM29" s="3">
        <v>4</v>
      </c>
      <c r="AN29" s="3">
        <v>3</v>
      </c>
      <c r="AO29" s="3">
        <v>2</v>
      </c>
      <c r="AP29" s="3">
        <v>1</v>
      </c>
      <c r="AQ29" s="3">
        <v>2</v>
      </c>
      <c r="AR29" s="3">
        <v>5</v>
      </c>
      <c r="AS29" s="3">
        <v>5</v>
      </c>
      <c r="AT29" s="3">
        <v>1</v>
      </c>
      <c r="AU29" s="3">
        <v>2</v>
      </c>
      <c r="AV29" s="3">
        <v>2</v>
      </c>
      <c r="AW29" s="3">
        <v>4</v>
      </c>
      <c r="AX29" s="3">
        <v>2</v>
      </c>
      <c r="AY29" s="3">
        <v>1</v>
      </c>
      <c r="AZ29" s="3">
        <v>4</v>
      </c>
      <c r="BA29" s="3">
        <v>4</v>
      </c>
      <c r="BB29" s="3">
        <v>2</v>
      </c>
      <c r="BC29" s="3">
        <v>5</v>
      </c>
      <c r="BD29" s="3">
        <v>4</v>
      </c>
      <c r="BE29" s="3">
        <v>1</v>
      </c>
      <c r="BF29" s="3">
        <v>4</v>
      </c>
      <c r="BG29" s="3">
        <v>2</v>
      </c>
      <c r="BH29" s="3">
        <v>3</v>
      </c>
      <c r="BI29" s="3">
        <v>3</v>
      </c>
      <c r="BJ29" s="3">
        <v>0</v>
      </c>
      <c r="BK29" s="3">
        <v>3</v>
      </c>
      <c r="BL29" s="3">
        <v>0</v>
      </c>
      <c r="BM29" s="3">
        <v>4</v>
      </c>
      <c r="BN29" s="3">
        <v>1</v>
      </c>
      <c r="BO29" s="3">
        <v>1</v>
      </c>
      <c r="BP29" s="3">
        <v>3</v>
      </c>
      <c r="BQ29" s="3">
        <v>2</v>
      </c>
      <c r="BR29" s="3">
        <v>2</v>
      </c>
      <c r="BS29" s="3">
        <v>0</v>
      </c>
      <c r="BT29" s="3">
        <v>1</v>
      </c>
      <c r="BU29" s="3">
        <v>1</v>
      </c>
      <c r="BV29" s="3">
        <v>2</v>
      </c>
      <c r="BW29" s="3">
        <v>1</v>
      </c>
      <c r="BX29" s="3">
        <v>2</v>
      </c>
      <c r="BY29" s="3">
        <v>0</v>
      </c>
      <c r="BZ29" s="3">
        <v>1</v>
      </c>
      <c r="CA29" s="3">
        <v>1</v>
      </c>
      <c r="CB29" s="3">
        <v>0</v>
      </c>
      <c r="CC29" s="3">
        <v>2</v>
      </c>
      <c r="CD29" s="3">
        <v>0</v>
      </c>
      <c r="CE29" s="3">
        <v>0</v>
      </c>
      <c r="CF29" s="3">
        <v>1</v>
      </c>
      <c r="CG29" s="3">
        <v>2</v>
      </c>
      <c r="CH29" s="3">
        <v>3</v>
      </c>
      <c r="CI29" s="3">
        <v>3</v>
      </c>
      <c r="CJ29" s="3">
        <v>0</v>
      </c>
      <c r="CK29" s="3">
        <v>1</v>
      </c>
      <c r="CL29" s="3">
        <v>1</v>
      </c>
      <c r="CM29" s="3">
        <v>0</v>
      </c>
      <c r="CN29" s="3">
        <v>0</v>
      </c>
      <c r="CO29" s="3">
        <v>0</v>
      </c>
      <c r="CP29" s="3">
        <v>0</v>
      </c>
      <c r="CQ29" s="3" t="s">
        <v>201</v>
      </c>
      <c r="CR29" s="3" t="s">
        <v>201</v>
      </c>
      <c r="CS29" s="3" t="s">
        <v>201</v>
      </c>
      <c r="CT29" s="3" t="s">
        <v>201</v>
      </c>
      <c r="CU29" s="3" t="s">
        <v>201</v>
      </c>
      <c r="CV29" s="3" t="s">
        <v>201</v>
      </c>
      <c r="CW29" s="3" t="s">
        <v>201</v>
      </c>
      <c r="CX29" s="3" t="s">
        <v>201</v>
      </c>
      <c r="CY29" s="3" t="s">
        <v>201</v>
      </c>
      <c r="CZ29" s="3" t="s">
        <v>201</v>
      </c>
      <c r="DA29" s="3" t="s">
        <v>201</v>
      </c>
      <c r="DB29" s="3" t="s">
        <v>201</v>
      </c>
      <c r="DC29" s="3" t="s">
        <v>201</v>
      </c>
      <c r="DD29" s="3" t="s">
        <v>201</v>
      </c>
      <c r="DE29" s="3" t="s">
        <v>201</v>
      </c>
      <c r="DF29" s="3" t="s">
        <v>201</v>
      </c>
      <c r="DG29" s="3" t="s">
        <v>201</v>
      </c>
      <c r="DH29" s="3" t="s">
        <v>201</v>
      </c>
      <c r="DI29" s="3" t="s">
        <v>201</v>
      </c>
      <c r="DJ29" s="3" t="s">
        <v>201</v>
      </c>
      <c r="DK29" s="3" t="s">
        <v>201</v>
      </c>
      <c r="DL29" s="3" t="s">
        <v>201</v>
      </c>
      <c r="DM29" s="3" t="s">
        <v>201</v>
      </c>
      <c r="DN29" s="3" t="s">
        <v>201</v>
      </c>
      <c r="DO29" s="3" t="s">
        <v>201</v>
      </c>
      <c r="DP29" s="3" t="s">
        <v>201</v>
      </c>
      <c r="DQ29" s="3" t="s">
        <v>201</v>
      </c>
      <c r="DR29">
        <f t="shared" si="0"/>
        <v>2017</v>
      </c>
    </row>
    <row r="30" spans="1:122" x14ac:dyDescent="0.35">
      <c r="A30" s="1">
        <f t="shared" si="1"/>
        <v>42856</v>
      </c>
      <c r="B30" s="2">
        <v>74</v>
      </c>
      <c r="C30" s="2">
        <v>80</v>
      </c>
      <c r="D30" s="2">
        <v>62</v>
      </c>
      <c r="E30" s="2">
        <v>53</v>
      </c>
      <c r="F30" s="2">
        <v>38</v>
      </c>
      <c r="G30" s="2">
        <v>39</v>
      </c>
      <c r="H30" s="2">
        <v>35</v>
      </c>
      <c r="I30" s="2">
        <v>33</v>
      </c>
      <c r="J30" s="2">
        <v>19</v>
      </c>
      <c r="K30" s="2">
        <v>17</v>
      </c>
      <c r="L30" s="2">
        <v>30</v>
      </c>
      <c r="M30" s="2">
        <v>20</v>
      </c>
      <c r="N30" s="3">
        <v>20</v>
      </c>
      <c r="O30" s="3">
        <v>12</v>
      </c>
      <c r="P30" s="3">
        <v>20</v>
      </c>
      <c r="Q30" s="3">
        <v>23</v>
      </c>
      <c r="R30" s="3">
        <v>14</v>
      </c>
      <c r="S30" s="3">
        <v>13</v>
      </c>
      <c r="T30" s="3">
        <v>21</v>
      </c>
      <c r="U30" s="3">
        <v>11</v>
      </c>
      <c r="V30" s="3">
        <v>6</v>
      </c>
      <c r="W30" s="3">
        <v>4</v>
      </c>
      <c r="X30" s="3">
        <v>10</v>
      </c>
      <c r="Y30" s="3">
        <v>6</v>
      </c>
      <c r="Z30" s="3">
        <v>10</v>
      </c>
      <c r="AA30" s="3">
        <v>7</v>
      </c>
      <c r="AB30" s="3">
        <v>6</v>
      </c>
      <c r="AC30" s="3">
        <v>5</v>
      </c>
      <c r="AD30" s="3">
        <v>9</v>
      </c>
      <c r="AE30" s="3">
        <v>5</v>
      </c>
      <c r="AF30" s="3">
        <v>5</v>
      </c>
      <c r="AG30" s="3">
        <v>10</v>
      </c>
      <c r="AH30" s="3">
        <v>4</v>
      </c>
      <c r="AI30" s="3">
        <v>5</v>
      </c>
      <c r="AJ30" s="3">
        <v>2</v>
      </c>
      <c r="AK30" s="3">
        <v>8</v>
      </c>
      <c r="AL30" s="3">
        <v>5</v>
      </c>
      <c r="AM30" s="3">
        <v>3</v>
      </c>
      <c r="AN30" s="3">
        <v>11</v>
      </c>
      <c r="AO30" s="3">
        <v>6</v>
      </c>
      <c r="AP30" s="3">
        <v>3</v>
      </c>
      <c r="AQ30" s="3">
        <v>2</v>
      </c>
      <c r="AR30" s="3">
        <v>12</v>
      </c>
      <c r="AS30" s="3">
        <v>2</v>
      </c>
      <c r="AT30" s="3">
        <v>2</v>
      </c>
      <c r="AU30" s="3">
        <v>4</v>
      </c>
      <c r="AV30" s="3">
        <v>2</v>
      </c>
      <c r="AW30" s="3">
        <v>3</v>
      </c>
      <c r="AX30" s="3">
        <v>3</v>
      </c>
      <c r="AY30" s="3">
        <v>0</v>
      </c>
      <c r="AZ30" s="3">
        <v>1</v>
      </c>
      <c r="BA30" s="3">
        <v>1</v>
      </c>
      <c r="BB30" s="3">
        <v>4</v>
      </c>
      <c r="BC30" s="3">
        <v>4</v>
      </c>
      <c r="BD30" s="3">
        <v>2</v>
      </c>
      <c r="BE30" s="3">
        <v>0</v>
      </c>
      <c r="BF30" s="3">
        <v>2</v>
      </c>
      <c r="BG30" s="3">
        <v>4</v>
      </c>
      <c r="BH30" s="3">
        <v>3</v>
      </c>
      <c r="BI30" s="3">
        <v>1</v>
      </c>
      <c r="BJ30" s="3">
        <v>2</v>
      </c>
      <c r="BK30" s="3">
        <v>4</v>
      </c>
      <c r="BL30" s="3">
        <v>4</v>
      </c>
      <c r="BM30" s="3">
        <v>1</v>
      </c>
      <c r="BN30" s="3">
        <v>4</v>
      </c>
      <c r="BO30" s="3">
        <v>4</v>
      </c>
      <c r="BP30" s="3">
        <v>1</v>
      </c>
      <c r="BQ30" s="3">
        <v>1</v>
      </c>
      <c r="BR30" s="3">
        <v>0</v>
      </c>
      <c r="BS30" s="3">
        <v>2</v>
      </c>
      <c r="BT30" s="3">
        <v>2</v>
      </c>
      <c r="BU30" s="3">
        <v>1</v>
      </c>
      <c r="BV30" s="3">
        <v>0</v>
      </c>
      <c r="BW30" s="3">
        <v>1</v>
      </c>
      <c r="BX30" s="3">
        <v>3</v>
      </c>
      <c r="BY30" s="3">
        <v>1</v>
      </c>
      <c r="BZ30" s="3">
        <v>0</v>
      </c>
      <c r="CA30" s="3">
        <v>2</v>
      </c>
      <c r="CB30" s="3">
        <v>1</v>
      </c>
      <c r="CC30" s="3">
        <v>0</v>
      </c>
      <c r="CD30" s="3">
        <v>1</v>
      </c>
      <c r="CE30" s="3">
        <v>2</v>
      </c>
      <c r="CF30" s="3">
        <v>1</v>
      </c>
      <c r="CG30" s="3">
        <v>4</v>
      </c>
      <c r="CH30" s="3">
        <v>1</v>
      </c>
      <c r="CI30" s="3">
        <v>3</v>
      </c>
      <c r="CJ30" s="3">
        <v>1</v>
      </c>
      <c r="CK30" s="3">
        <v>1</v>
      </c>
      <c r="CL30" s="3">
        <v>3</v>
      </c>
      <c r="CM30" s="3">
        <v>0</v>
      </c>
      <c r="CN30" s="3">
        <v>0</v>
      </c>
      <c r="CO30" s="3">
        <v>0</v>
      </c>
      <c r="CP30" s="3" t="s">
        <v>201</v>
      </c>
      <c r="CQ30" s="3" t="s">
        <v>201</v>
      </c>
      <c r="CR30" s="3" t="s">
        <v>201</v>
      </c>
      <c r="CS30" s="3" t="s">
        <v>201</v>
      </c>
      <c r="CT30" s="3" t="s">
        <v>201</v>
      </c>
      <c r="CU30" s="3" t="s">
        <v>201</v>
      </c>
      <c r="CV30" s="3" t="s">
        <v>201</v>
      </c>
      <c r="CW30" s="3" t="s">
        <v>201</v>
      </c>
      <c r="CX30" s="3" t="s">
        <v>201</v>
      </c>
      <c r="CY30" s="3" t="s">
        <v>201</v>
      </c>
      <c r="CZ30" s="3" t="s">
        <v>201</v>
      </c>
      <c r="DA30" s="3" t="s">
        <v>201</v>
      </c>
      <c r="DB30" s="3" t="s">
        <v>201</v>
      </c>
      <c r="DC30" s="3" t="s">
        <v>201</v>
      </c>
      <c r="DD30" s="3" t="s">
        <v>201</v>
      </c>
      <c r="DE30" s="3" t="s">
        <v>201</v>
      </c>
      <c r="DF30" s="3" t="s">
        <v>201</v>
      </c>
      <c r="DG30" s="3" t="s">
        <v>201</v>
      </c>
      <c r="DH30" s="3" t="s">
        <v>201</v>
      </c>
      <c r="DI30" s="3" t="s">
        <v>201</v>
      </c>
      <c r="DJ30" s="3" t="s">
        <v>201</v>
      </c>
      <c r="DK30" s="3" t="s">
        <v>201</v>
      </c>
      <c r="DL30" s="3" t="s">
        <v>201</v>
      </c>
      <c r="DM30" s="3" t="s">
        <v>201</v>
      </c>
      <c r="DN30" s="3" t="s">
        <v>201</v>
      </c>
      <c r="DO30" s="3" t="s">
        <v>201</v>
      </c>
      <c r="DP30" s="3" t="s">
        <v>201</v>
      </c>
      <c r="DQ30" s="3" t="s">
        <v>201</v>
      </c>
      <c r="DR30">
        <f t="shared" si="0"/>
        <v>2017</v>
      </c>
    </row>
    <row r="31" spans="1:122" x14ac:dyDescent="0.35">
      <c r="A31" s="1">
        <f t="shared" si="1"/>
        <v>42887</v>
      </c>
      <c r="B31" s="2">
        <v>59</v>
      </c>
      <c r="C31" s="2">
        <v>103</v>
      </c>
      <c r="D31" s="2">
        <v>110</v>
      </c>
      <c r="E31" s="2">
        <v>62</v>
      </c>
      <c r="F31" s="2">
        <v>53</v>
      </c>
      <c r="G31" s="2">
        <v>39</v>
      </c>
      <c r="H31" s="2">
        <v>44</v>
      </c>
      <c r="I31" s="2">
        <v>25</v>
      </c>
      <c r="J31" s="2">
        <v>39</v>
      </c>
      <c r="K31" s="2">
        <v>29</v>
      </c>
      <c r="L31" s="2">
        <v>31</v>
      </c>
      <c r="M31" s="2">
        <v>23</v>
      </c>
      <c r="N31" s="3">
        <v>19</v>
      </c>
      <c r="O31" s="3">
        <v>19</v>
      </c>
      <c r="P31" s="3">
        <v>19</v>
      </c>
      <c r="Q31" s="3">
        <v>19</v>
      </c>
      <c r="R31" s="3">
        <v>12</v>
      </c>
      <c r="S31" s="3">
        <v>20</v>
      </c>
      <c r="T31" s="3">
        <v>11</v>
      </c>
      <c r="U31" s="3">
        <v>10</v>
      </c>
      <c r="V31" s="3">
        <v>8</v>
      </c>
      <c r="W31" s="3">
        <v>7</v>
      </c>
      <c r="X31" s="3">
        <v>11</v>
      </c>
      <c r="Y31" s="3">
        <v>8</v>
      </c>
      <c r="Z31" s="3">
        <v>9</v>
      </c>
      <c r="AA31" s="3">
        <v>11</v>
      </c>
      <c r="AB31" s="3">
        <v>6</v>
      </c>
      <c r="AC31" s="3">
        <v>9</v>
      </c>
      <c r="AD31" s="3">
        <v>8</v>
      </c>
      <c r="AE31" s="3">
        <v>8</v>
      </c>
      <c r="AF31" s="3">
        <v>6</v>
      </c>
      <c r="AG31" s="3">
        <v>12</v>
      </c>
      <c r="AH31" s="3">
        <v>2</v>
      </c>
      <c r="AI31" s="3">
        <v>5</v>
      </c>
      <c r="AJ31" s="3">
        <v>4</v>
      </c>
      <c r="AK31" s="3">
        <v>1</v>
      </c>
      <c r="AL31" s="3">
        <v>3</v>
      </c>
      <c r="AM31" s="3">
        <v>9</v>
      </c>
      <c r="AN31" s="3">
        <v>4</v>
      </c>
      <c r="AO31" s="3">
        <v>6</v>
      </c>
      <c r="AP31" s="3">
        <v>9</v>
      </c>
      <c r="AQ31" s="3">
        <v>7</v>
      </c>
      <c r="AR31" s="3">
        <v>2</v>
      </c>
      <c r="AS31" s="3">
        <v>5</v>
      </c>
      <c r="AT31" s="3">
        <v>5</v>
      </c>
      <c r="AU31" s="3">
        <v>6</v>
      </c>
      <c r="AV31" s="3">
        <v>1</v>
      </c>
      <c r="AW31" s="3">
        <v>0</v>
      </c>
      <c r="AX31" s="3">
        <v>5</v>
      </c>
      <c r="AY31" s="3">
        <v>1</v>
      </c>
      <c r="AZ31" s="3">
        <v>5</v>
      </c>
      <c r="BA31" s="3">
        <v>3</v>
      </c>
      <c r="BB31" s="3">
        <v>3</v>
      </c>
      <c r="BC31" s="3">
        <v>4</v>
      </c>
      <c r="BD31" s="3">
        <v>2</v>
      </c>
      <c r="BE31" s="3">
        <v>1</v>
      </c>
      <c r="BF31" s="3">
        <v>1</v>
      </c>
      <c r="BG31" s="3">
        <v>2</v>
      </c>
      <c r="BH31" s="3">
        <v>1</v>
      </c>
      <c r="BI31" s="3">
        <v>6</v>
      </c>
      <c r="BJ31" s="3">
        <v>3</v>
      </c>
      <c r="BK31" s="3">
        <v>6</v>
      </c>
      <c r="BL31" s="3">
        <v>1</v>
      </c>
      <c r="BM31" s="3">
        <v>1</v>
      </c>
      <c r="BN31" s="3">
        <v>1</v>
      </c>
      <c r="BO31" s="3">
        <v>5</v>
      </c>
      <c r="BP31" s="3">
        <v>2</v>
      </c>
      <c r="BQ31" s="3">
        <v>2</v>
      </c>
      <c r="BR31" s="3">
        <v>2</v>
      </c>
      <c r="BS31" s="3">
        <v>1</v>
      </c>
      <c r="BT31" s="3">
        <v>3</v>
      </c>
      <c r="BU31" s="3">
        <v>2</v>
      </c>
      <c r="BV31" s="3">
        <v>2</v>
      </c>
      <c r="BW31" s="3">
        <v>3</v>
      </c>
      <c r="BX31" s="3">
        <v>0</v>
      </c>
      <c r="BY31" s="3">
        <v>3</v>
      </c>
      <c r="BZ31" s="3">
        <v>0</v>
      </c>
      <c r="CA31" s="3">
        <v>1</v>
      </c>
      <c r="CB31" s="3">
        <v>2</v>
      </c>
      <c r="CC31" s="3">
        <v>1</v>
      </c>
      <c r="CD31" s="3">
        <v>0</v>
      </c>
      <c r="CE31" s="3">
        <v>0</v>
      </c>
      <c r="CF31" s="3">
        <v>2</v>
      </c>
      <c r="CG31" s="3">
        <v>1</v>
      </c>
      <c r="CH31" s="3">
        <v>1</v>
      </c>
      <c r="CI31" s="3">
        <v>0</v>
      </c>
      <c r="CJ31" s="3">
        <v>2</v>
      </c>
      <c r="CK31" s="3">
        <v>1</v>
      </c>
      <c r="CL31" s="3">
        <v>0</v>
      </c>
      <c r="CM31" s="3">
        <v>3</v>
      </c>
      <c r="CN31" s="3">
        <v>0</v>
      </c>
      <c r="CO31" s="3" t="s">
        <v>201</v>
      </c>
      <c r="CP31" s="3" t="s">
        <v>201</v>
      </c>
      <c r="CQ31" s="3" t="s">
        <v>201</v>
      </c>
      <c r="CR31" s="3" t="s">
        <v>201</v>
      </c>
      <c r="CS31" s="3" t="s">
        <v>201</v>
      </c>
      <c r="CT31" s="3" t="s">
        <v>201</v>
      </c>
      <c r="CU31" s="3" t="s">
        <v>201</v>
      </c>
      <c r="CV31" s="3" t="s">
        <v>201</v>
      </c>
      <c r="CW31" s="3" t="s">
        <v>201</v>
      </c>
      <c r="CX31" s="3" t="s">
        <v>201</v>
      </c>
      <c r="CY31" s="3" t="s">
        <v>201</v>
      </c>
      <c r="CZ31" s="3" t="s">
        <v>201</v>
      </c>
      <c r="DA31" s="3" t="s">
        <v>201</v>
      </c>
      <c r="DB31" s="3" t="s">
        <v>201</v>
      </c>
      <c r="DC31" s="3" t="s">
        <v>201</v>
      </c>
      <c r="DD31" s="3" t="s">
        <v>201</v>
      </c>
      <c r="DE31" s="3" t="s">
        <v>201</v>
      </c>
      <c r="DF31" s="3" t="s">
        <v>201</v>
      </c>
      <c r="DG31" s="3" t="s">
        <v>201</v>
      </c>
      <c r="DH31" s="3" t="s">
        <v>201</v>
      </c>
      <c r="DI31" s="3" t="s">
        <v>201</v>
      </c>
      <c r="DJ31" s="3" t="s">
        <v>201</v>
      </c>
      <c r="DK31" s="3" t="s">
        <v>201</v>
      </c>
      <c r="DL31" s="3" t="s">
        <v>201</v>
      </c>
      <c r="DM31" s="3" t="s">
        <v>201</v>
      </c>
      <c r="DN31" s="3" t="s">
        <v>201</v>
      </c>
      <c r="DO31" s="3" t="s">
        <v>201</v>
      </c>
      <c r="DP31" s="3" t="s">
        <v>201</v>
      </c>
      <c r="DQ31" s="3" t="s">
        <v>201</v>
      </c>
      <c r="DR31">
        <f t="shared" si="0"/>
        <v>2017</v>
      </c>
    </row>
    <row r="32" spans="1:122" x14ac:dyDescent="0.35">
      <c r="A32" s="1">
        <f t="shared" si="1"/>
        <v>42917</v>
      </c>
      <c r="B32" s="2">
        <v>82</v>
      </c>
      <c r="C32" s="2">
        <v>149</v>
      </c>
      <c r="D32" s="2">
        <v>147</v>
      </c>
      <c r="E32" s="2">
        <v>104</v>
      </c>
      <c r="F32" s="2">
        <v>59</v>
      </c>
      <c r="G32" s="2">
        <v>46</v>
      </c>
      <c r="H32" s="2">
        <v>46</v>
      </c>
      <c r="I32" s="2">
        <v>42</v>
      </c>
      <c r="J32" s="2">
        <v>28</v>
      </c>
      <c r="K32" s="2">
        <v>42</v>
      </c>
      <c r="L32" s="2">
        <v>26</v>
      </c>
      <c r="M32" s="2">
        <v>27</v>
      </c>
      <c r="N32" s="3">
        <v>25</v>
      </c>
      <c r="O32" s="3">
        <v>27</v>
      </c>
      <c r="P32" s="3">
        <v>15</v>
      </c>
      <c r="Q32" s="3">
        <v>16</v>
      </c>
      <c r="R32" s="3">
        <v>14</v>
      </c>
      <c r="S32" s="3">
        <v>14</v>
      </c>
      <c r="T32" s="3">
        <v>17</v>
      </c>
      <c r="U32" s="3">
        <v>15</v>
      </c>
      <c r="V32" s="3">
        <v>12</v>
      </c>
      <c r="W32" s="3">
        <v>11</v>
      </c>
      <c r="X32" s="3">
        <v>12</v>
      </c>
      <c r="Y32" s="3">
        <v>12</v>
      </c>
      <c r="Z32" s="3">
        <v>8</v>
      </c>
      <c r="AA32" s="3">
        <v>7</v>
      </c>
      <c r="AB32" s="3">
        <v>4</v>
      </c>
      <c r="AC32" s="3">
        <v>8</v>
      </c>
      <c r="AD32" s="3">
        <v>10</v>
      </c>
      <c r="AE32" s="3">
        <v>9</v>
      </c>
      <c r="AF32" s="3">
        <v>8</v>
      </c>
      <c r="AG32" s="3">
        <v>3</v>
      </c>
      <c r="AH32" s="3">
        <v>4</v>
      </c>
      <c r="AI32" s="3">
        <v>2</v>
      </c>
      <c r="AJ32" s="3">
        <v>6</v>
      </c>
      <c r="AK32" s="3">
        <v>4</v>
      </c>
      <c r="AL32" s="3">
        <v>5</v>
      </c>
      <c r="AM32" s="3">
        <v>4</v>
      </c>
      <c r="AN32" s="3">
        <v>1</v>
      </c>
      <c r="AO32" s="3">
        <v>2</v>
      </c>
      <c r="AP32" s="3">
        <v>8</v>
      </c>
      <c r="AQ32" s="3">
        <v>4</v>
      </c>
      <c r="AR32" s="3">
        <v>0</v>
      </c>
      <c r="AS32" s="3">
        <v>4</v>
      </c>
      <c r="AT32" s="3">
        <v>1</v>
      </c>
      <c r="AU32" s="3">
        <v>4</v>
      </c>
      <c r="AV32" s="3">
        <v>3</v>
      </c>
      <c r="AW32" s="3">
        <v>3</v>
      </c>
      <c r="AX32" s="3">
        <v>3</v>
      </c>
      <c r="AY32" s="3">
        <v>2</v>
      </c>
      <c r="AZ32" s="3">
        <v>0</v>
      </c>
      <c r="BA32" s="3">
        <v>2</v>
      </c>
      <c r="BB32" s="3">
        <v>6</v>
      </c>
      <c r="BC32" s="3">
        <v>1</v>
      </c>
      <c r="BD32" s="3">
        <v>1</v>
      </c>
      <c r="BE32" s="3">
        <v>0</v>
      </c>
      <c r="BF32" s="3">
        <v>0</v>
      </c>
      <c r="BG32" s="3">
        <v>1</v>
      </c>
      <c r="BH32" s="3">
        <v>3</v>
      </c>
      <c r="BI32" s="3">
        <v>5</v>
      </c>
      <c r="BJ32" s="3">
        <v>4</v>
      </c>
      <c r="BK32" s="3">
        <v>3</v>
      </c>
      <c r="BL32" s="3">
        <v>1</v>
      </c>
      <c r="BM32" s="3">
        <v>2</v>
      </c>
      <c r="BN32" s="3">
        <v>3</v>
      </c>
      <c r="BO32" s="3">
        <v>0</v>
      </c>
      <c r="BP32" s="3">
        <v>2</v>
      </c>
      <c r="BQ32" s="3">
        <v>0</v>
      </c>
      <c r="BR32" s="3">
        <v>3</v>
      </c>
      <c r="BS32" s="3">
        <v>0</v>
      </c>
      <c r="BT32" s="3">
        <v>1</v>
      </c>
      <c r="BU32" s="3">
        <v>1</v>
      </c>
      <c r="BV32" s="3">
        <v>3</v>
      </c>
      <c r="BW32" s="3">
        <v>1</v>
      </c>
      <c r="BX32" s="3">
        <v>2</v>
      </c>
      <c r="BY32" s="3">
        <v>1</v>
      </c>
      <c r="BZ32" s="3">
        <v>1</v>
      </c>
      <c r="CA32" s="3">
        <v>2</v>
      </c>
      <c r="CB32" s="3">
        <v>1</v>
      </c>
      <c r="CC32" s="3">
        <v>1</v>
      </c>
      <c r="CD32" s="3">
        <v>1</v>
      </c>
      <c r="CE32" s="3">
        <v>1</v>
      </c>
      <c r="CF32" s="3">
        <v>1</v>
      </c>
      <c r="CG32" s="3">
        <v>2</v>
      </c>
      <c r="CH32" s="3">
        <v>0</v>
      </c>
      <c r="CI32" s="3">
        <v>1</v>
      </c>
      <c r="CJ32" s="3">
        <v>3</v>
      </c>
      <c r="CK32" s="3">
        <v>1</v>
      </c>
      <c r="CL32" s="3">
        <v>1</v>
      </c>
      <c r="CM32" s="3">
        <v>0</v>
      </c>
      <c r="CN32" s="3" t="s">
        <v>201</v>
      </c>
      <c r="CO32" s="3" t="s">
        <v>201</v>
      </c>
      <c r="CP32" s="3" t="s">
        <v>201</v>
      </c>
      <c r="CQ32" s="3" t="s">
        <v>201</v>
      </c>
      <c r="CR32" s="3" t="s">
        <v>201</v>
      </c>
      <c r="CS32" s="3" t="s">
        <v>201</v>
      </c>
      <c r="CT32" s="3" t="s">
        <v>201</v>
      </c>
      <c r="CU32" s="3" t="s">
        <v>201</v>
      </c>
      <c r="CV32" s="3" t="s">
        <v>201</v>
      </c>
      <c r="CW32" s="3" t="s">
        <v>201</v>
      </c>
      <c r="CX32" s="3" t="s">
        <v>201</v>
      </c>
      <c r="CY32" s="3" t="s">
        <v>201</v>
      </c>
      <c r="CZ32" s="3" t="s">
        <v>201</v>
      </c>
      <c r="DA32" s="3" t="s">
        <v>201</v>
      </c>
      <c r="DB32" s="3" t="s">
        <v>201</v>
      </c>
      <c r="DC32" s="3" t="s">
        <v>201</v>
      </c>
      <c r="DD32" s="3" t="s">
        <v>201</v>
      </c>
      <c r="DE32" s="3" t="s">
        <v>201</v>
      </c>
      <c r="DF32" s="3" t="s">
        <v>201</v>
      </c>
      <c r="DG32" s="3" t="s">
        <v>201</v>
      </c>
      <c r="DH32" s="3" t="s">
        <v>201</v>
      </c>
      <c r="DI32" s="3" t="s">
        <v>201</v>
      </c>
      <c r="DJ32" s="3" t="s">
        <v>201</v>
      </c>
      <c r="DK32" s="3" t="s">
        <v>201</v>
      </c>
      <c r="DL32" s="3" t="s">
        <v>201</v>
      </c>
      <c r="DM32" s="3" t="s">
        <v>201</v>
      </c>
      <c r="DN32" s="3" t="s">
        <v>201</v>
      </c>
      <c r="DO32" s="3" t="s">
        <v>201</v>
      </c>
      <c r="DP32" s="3" t="s">
        <v>201</v>
      </c>
      <c r="DQ32" s="3" t="s">
        <v>201</v>
      </c>
      <c r="DR32">
        <f t="shared" si="0"/>
        <v>2017</v>
      </c>
    </row>
    <row r="33" spans="1:122" x14ac:dyDescent="0.35">
      <c r="A33" s="1">
        <f t="shared" si="1"/>
        <v>42948</v>
      </c>
      <c r="B33" s="2">
        <v>50</v>
      </c>
      <c r="C33" s="2">
        <v>112</v>
      </c>
      <c r="D33" s="2">
        <v>71</v>
      </c>
      <c r="E33" s="2">
        <v>84</v>
      </c>
      <c r="F33" s="2">
        <v>42</v>
      </c>
      <c r="G33" s="2">
        <v>31</v>
      </c>
      <c r="H33" s="2">
        <v>19</v>
      </c>
      <c r="I33" s="2">
        <v>20</v>
      </c>
      <c r="J33" s="2">
        <v>22</v>
      </c>
      <c r="K33" s="2">
        <v>17</v>
      </c>
      <c r="L33" s="2">
        <v>25</v>
      </c>
      <c r="M33" s="2">
        <v>25</v>
      </c>
      <c r="N33" s="3">
        <v>17</v>
      </c>
      <c r="O33" s="3">
        <v>22</v>
      </c>
      <c r="P33" s="3">
        <v>8</v>
      </c>
      <c r="Q33" s="3">
        <v>12</v>
      </c>
      <c r="R33" s="3">
        <v>8</v>
      </c>
      <c r="S33" s="3">
        <v>10</v>
      </c>
      <c r="T33" s="3">
        <v>5</v>
      </c>
      <c r="U33" s="3">
        <v>7</v>
      </c>
      <c r="V33" s="3">
        <v>4</v>
      </c>
      <c r="W33" s="3">
        <v>7</v>
      </c>
      <c r="X33" s="3">
        <v>7</v>
      </c>
      <c r="Y33" s="3">
        <v>8</v>
      </c>
      <c r="Z33" s="3">
        <v>2</v>
      </c>
      <c r="AA33" s="3">
        <v>3</v>
      </c>
      <c r="AB33" s="3">
        <v>7</v>
      </c>
      <c r="AC33" s="3">
        <v>4</v>
      </c>
      <c r="AD33" s="3">
        <v>5</v>
      </c>
      <c r="AE33" s="3">
        <v>2</v>
      </c>
      <c r="AF33" s="3">
        <v>5</v>
      </c>
      <c r="AG33" s="3">
        <v>4</v>
      </c>
      <c r="AH33" s="3">
        <v>5</v>
      </c>
      <c r="AI33" s="3">
        <v>1</v>
      </c>
      <c r="AJ33" s="3">
        <v>1</v>
      </c>
      <c r="AK33" s="3">
        <v>3</v>
      </c>
      <c r="AL33" s="3">
        <v>4</v>
      </c>
      <c r="AM33" s="3">
        <v>1</v>
      </c>
      <c r="AN33" s="3">
        <v>1</v>
      </c>
      <c r="AO33" s="3">
        <v>3</v>
      </c>
      <c r="AP33" s="3">
        <v>3</v>
      </c>
      <c r="AQ33" s="3">
        <v>0</v>
      </c>
      <c r="AR33" s="3">
        <v>2</v>
      </c>
      <c r="AS33" s="3">
        <v>5</v>
      </c>
      <c r="AT33" s="3">
        <v>0</v>
      </c>
      <c r="AU33" s="3">
        <v>2</v>
      </c>
      <c r="AV33" s="3">
        <v>3</v>
      </c>
      <c r="AW33" s="3">
        <v>2</v>
      </c>
      <c r="AX33" s="3">
        <v>1</v>
      </c>
      <c r="AY33" s="3">
        <v>1</v>
      </c>
      <c r="AZ33" s="3">
        <v>3</v>
      </c>
      <c r="BA33" s="3">
        <v>1</v>
      </c>
      <c r="BB33" s="3">
        <v>2</v>
      </c>
      <c r="BC33" s="3">
        <v>1</v>
      </c>
      <c r="BD33" s="3">
        <v>0</v>
      </c>
      <c r="BE33" s="3">
        <v>0</v>
      </c>
      <c r="BF33" s="3">
        <v>0</v>
      </c>
      <c r="BG33" s="3">
        <v>3</v>
      </c>
      <c r="BH33" s="3">
        <v>1</v>
      </c>
      <c r="BI33" s="3">
        <v>6</v>
      </c>
      <c r="BJ33" s="3">
        <v>2</v>
      </c>
      <c r="BK33" s="3">
        <v>1</v>
      </c>
      <c r="BL33" s="3">
        <v>0</v>
      </c>
      <c r="BM33" s="3">
        <v>1</v>
      </c>
      <c r="BN33" s="3">
        <v>0</v>
      </c>
      <c r="BO33" s="3">
        <v>1</v>
      </c>
      <c r="BP33" s="3">
        <v>4</v>
      </c>
      <c r="BQ33" s="3">
        <v>1</v>
      </c>
      <c r="BR33" s="3">
        <v>1</v>
      </c>
      <c r="BS33" s="3">
        <v>1</v>
      </c>
      <c r="BT33" s="3">
        <v>1</v>
      </c>
      <c r="BU33" s="3">
        <v>1</v>
      </c>
      <c r="BV33" s="3">
        <v>2</v>
      </c>
      <c r="BW33" s="3">
        <v>0</v>
      </c>
      <c r="BX33" s="3">
        <v>2</v>
      </c>
      <c r="BY33" s="3">
        <v>2</v>
      </c>
      <c r="BZ33" s="3">
        <v>0</v>
      </c>
      <c r="CA33" s="3">
        <v>1</v>
      </c>
      <c r="CB33" s="3">
        <v>0</v>
      </c>
      <c r="CC33" s="3">
        <v>0</v>
      </c>
      <c r="CD33" s="3">
        <v>1</v>
      </c>
      <c r="CE33" s="3">
        <v>0</v>
      </c>
      <c r="CF33" s="3">
        <v>0</v>
      </c>
      <c r="CG33" s="3">
        <v>0</v>
      </c>
      <c r="CH33" s="3">
        <v>0</v>
      </c>
      <c r="CI33" s="3">
        <v>0</v>
      </c>
      <c r="CJ33" s="3">
        <v>1</v>
      </c>
      <c r="CK33" s="3">
        <v>0</v>
      </c>
      <c r="CL33" s="3">
        <v>1</v>
      </c>
      <c r="CM33" s="3" t="s">
        <v>201</v>
      </c>
      <c r="CN33" s="3" t="s">
        <v>201</v>
      </c>
      <c r="CO33" s="3" t="s">
        <v>201</v>
      </c>
      <c r="CP33" s="3" t="s">
        <v>201</v>
      </c>
      <c r="CQ33" s="3" t="s">
        <v>201</v>
      </c>
      <c r="CR33" s="3" t="s">
        <v>201</v>
      </c>
      <c r="CS33" s="3" t="s">
        <v>201</v>
      </c>
      <c r="CT33" s="3" t="s">
        <v>201</v>
      </c>
      <c r="CU33" s="3" t="s">
        <v>201</v>
      </c>
      <c r="CV33" s="3" t="s">
        <v>201</v>
      </c>
      <c r="CW33" s="3" t="s">
        <v>201</v>
      </c>
      <c r="CX33" s="3" t="s">
        <v>201</v>
      </c>
      <c r="CY33" s="3" t="s">
        <v>201</v>
      </c>
      <c r="CZ33" s="3" t="s">
        <v>201</v>
      </c>
      <c r="DA33" s="3" t="s">
        <v>201</v>
      </c>
      <c r="DB33" s="3" t="s">
        <v>201</v>
      </c>
      <c r="DC33" s="3" t="s">
        <v>201</v>
      </c>
      <c r="DD33" s="3" t="s">
        <v>201</v>
      </c>
      <c r="DE33" s="3" t="s">
        <v>201</v>
      </c>
      <c r="DF33" s="3" t="s">
        <v>201</v>
      </c>
      <c r="DG33" s="3" t="s">
        <v>201</v>
      </c>
      <c r="DH33" s="3" t="s">
        <v>201</v>
      </c>
      <c r="DI33" s="3" t="s">
        <v>201</v>
      </c>
      <c r="DJ33" s="3" t="s">
        <v>201</v>
      </c>
      <c r="DK33" s="3" t="s">
        <v>201</v>
      </c>
      <c r="DL33" s="3" t="s">
        <v>201</v>
      </c>
      <c r="DM33" s="3" t="s">
        <v>201</v>
      </c>
      <c r="DN33" s="3" t="s">
        <v>201</v>
      </c>
      <c r="DO33" s="3" t="s">
        <v>201</v>
      </c>
      <c r="DP33" s="3" t="s">
        <v>201</v>
      </c>
      <c r="DQ33" s="3" t="s">
        <v>201</v>
      </c>
      <c r="DR33">
        <f t="shared" si="0"/>
        <v>2017</v>
      </c>
    </row>
    <row r="34" spans="1:122" x14ac:dyDescent="0.35">
      <c r="A34" s="1">
        <f t="shared" si="1"/>
        <v>42979</v>
      </c>
      <c r="B34" s="2">
        <v>57</v>
      </c>
      <c r="C34" s="2">
        <v>116</v>
      </c>
      <c r="D34" s="2">
        <v>82</v>
      </c>
      <c r="E34" s="2">
        <v>100</v>
      </c>
      <c r="F34" s="2">
        <v>58</v>
      </c>
      <c r="G34" s="2">
        <v>46</v>
      </c>
      <c r="H34" s="2">
        <v>32</v>
      </c>
      <c r="I34" s="2">
        <v>24</v>
      </c>
      <c r="J34" s="2">
        <v>20</v>
      </c>
      <c r="K34" s="2">
        <v>22</v>
      </c>
      <c r="L34" s="2">
        <v>24</v>
      </c>
      <c r="M34" s="2">
        <v>16</v>
      </c>
      <c r="N34" s="3">
        <v>22</v>
      </c>
      <c r="O34" s="3">
        <v>16</v>
      </c>
      <c r="P34" s="3">
        <v>25</v>
      </c>
      <c r="Q34" s="3">
        <v>17</v>
      </c>
      <c r="R34" s="3">
        <v>15</v>
      </c>
      <c r="S34" s="3">
        <v>14</v>
      </c>
      <c r="T34" s="3">
        <v>9</v>
      </c>
      <c r="U34" s="3">
        <v>13</v>
      </c>
      <c r="V34" s="3">
        <v>10</v>
      </c>
      <c r="W34" s="3">
        <v>10</v>
      </c>
      <c r="X34" s="3">
        <v>13</v>
      </c>
      <c r="Y34" s="3">
        <v>5</v>
      </c>
      <c r="Z34" s="3">
        <v>10</v>
      </c>
      <c r="AA34" s="3">
        <v>7</v>
      </c>
      <c r="AB34" s="3">
        <v>7</v>
      </c>
      <c r="AC34" s="3">
        <v>5</v>
      </c>
      <c r="AD34" s="3">
        <v>3</v>
      </c>
      <c r="AE34" s="3">
        <v>9</v>
      </c>
      <c r="AF34" s="3">
        <v>7</v>
      </c>
      <c r="AG34" s="3">
        <v>10</v>
      </c>
      <c r="AH34" s="3">
        <v>5</v>
      </c>
      <c r="AI34" s="3">
        <v>6</v>
      </c>
      <c r="AJ34" s="3">
        <v>7</v>
      </c>
      <c r="AK34" s="3">
        <v>1</v>
      </c>
      <c r="AL34" s="3">
        <v>4</v>
      </c>
      <c r="AM34" s="3">
        <v>6</v>
      </c>
      <c r="AN34" s="3">
        <v>4</v>
      </c>
      <c r="AO34" s="3">
        <v>0</v>
      </c>
      <c r="AP34" s="3">
        <v>1</v>
      </c>
      <c r="AQ34" s="3">
        <v>4</v>
      </c>
      <c r="AR34" s="3">
        <v>4</v>
      </c>
      <c r="AS34" s="3">
        <v>2</v>
      </c>
      <c r="AT34" s="3">
        <v>1</v>
      </c>
      <c r="AU34" s="3">
        <v>1</v>
      </c>
      <c r="AV34" s="3">
        <v>3</v>
      </c>
      <c r="AW34" s="3">
        <v>1</v>
      </c>
      <c r="AX34" s="3">
        <v>0</v>
      </c>
      <c r="AY34" s="3">
        <v>0</v>
      </c>
      <c r="AZ34" s="3">
        <v>5</v>
      </c>
      <c r="BA34" s="3">
        <v>3</v>
      </c>
      <c r="BB34" s="3">
        <v>1</v>
      </c>
      <c r="BC34" s="3">
        <v>3</v>
      </c>
      <c r="BD34" s="3">
        <v>2</v>
      </c>
      <c r="BE34" s="3">
        <v>2</v>
      </c>
      <c r="BF34" s="3">
        <v>1</v>
      </c>
      <c r="BG34" s="3">
        <v>3</v>
      </c>
      <c r="BH34" s="3">
        <v>1</v>
      </c>
      <c r="BI34" s="3">
        <v>1</v>
      </c>
      <c r="BJ34" s="3">
        <v>1</v>
      </c>
      <c r="BK34" s="3">
        <v>1</v>
      </c>
      <c r="BL34" s="3">
        <v>0</v>
      </c>
      <c r="BM34" s="3">
        <v>4</v>
      </c>
      <c r="BN34" s="3">
        <v>1</v>
      </c>
      <c r="BO34" s="3">
        <v>0</v>
      </c>
      <c r="BP34" s="3">
        <v>0</v>
      </c>
      <c r="BQ34" s="3">
        <v>1</v>
      </c>
      <c r="BR34" s="3">
        <v>1</v>
      </c>
      <c r="BS34" s="3">
        <v>0</v>
      </c>
      <c r="BT34" s="3">
        <v>0</v>
      </c>
      <c r="BU34" s="3">
        <v>2</v>
      </c>
      <c r="BV34" s="3">
        <v>0</v>
      </c>
      <c r="BW34" s="3">
        <v>2</v>
      </c>
      <c r="BX34" s="3">
        <v>1</v>
      </c>
      <c r="BY34" s="3">
        <v>3</v>
      </c>
      <c r="BZ34" s="3">
        <v>0</v>
      </c>
      <c r="CA34" s="3">
        <v>0</v>
      </c>
      <c r="CB34" s="3">
        <v>0</v>
      </c>
      <c r="CC34" s="3">
        <v>1</v>
      </c>
      <c r="CD34" s="3">
        <v>0</v>
      </c>
      <c r="CE34" s="3">
        <v>0</v>
      </c>
      <c r="CF34" s="3">
        <v>0</v>
      </c>
      <c r="CG34" s="3">
        <v>0</v>
      </c>
      <c r="CH34" s="3">
        <v>0</v>
      </c>
      <c r="CI34" s="3">
        <v>0</v>
      </c>
      <c r="CJ34" s="3">
        <v>0</v>
      </c>
      <c r="CK34" s="3">
        <v>2</v>
      </c>
      <c r="CL34" s="3" t="s">
        <v>201</v>
      </c>
      <c r="CM34" s="3" t="s">
        <v>201</v>
      </c>
      <c r="CN34" s="3" t="s">
        <v>201</v>
      </c>
      <c r="CO34" s="3" t="s">
        <v>201</v>
      </c>
      <c r="CP34" s="3" t="s">
        <v>201</v>
      </c>
      <c r="CQ34" s="3" t="s">
        <v>201</v>
      </c>
      <c r="CR34" s="3" t="s">
        <v>201</v>
      </c>
      <c r="CS34" s="3" t="s">
        <v>201</v>
      </c>
      <c r="CT34" s="3" t="s">
        <v>201</v>
      </c>
      <c r="CU34" s="3" t="s">
        <v>201</v>
      </c>
      <c r="CV34" s="3" t="s">
        <v>201</v>
      </c>
      <c r="CW34" s="3" t="s">
        <v>201</v>
      </c>
      <c r="CX34" s="3" t="s">
        <v>201</v>
      </c>
      <c r="CY34" s="3" t="s">
        <v>201</v>
      </c>
      <c r="CZ34" s="3" t="s">
        <v>201</v>
      </c>
      <c r="DA34" s="3" t="s">
        <v>201</v>
      </c>
      <c r="DB34" s="3" t="s">
        <v>201</v>
      </c>
      <c r="DC34" s="3" t="s">
        <v>201</v>
      </c>
      <c r="DD34" s="3" t="s">
        <v>201</v>
      </c>
      <c r="DE34" s="3" t="s">
        <v>201</v>
      </c>
      <c r="DF34" s="3" t="s">
        <v>201</v>
      </c>
      <c r="DG34" s="3" t="s">
        <v>201</v>
      </c>
      <c r="DH34" s="3" t="s">
        <v>201</v>
      </c>
      <c r="DI34" s="3" t="s">
        <v>201</v>
      </c>
      <c r="DJ34" s="3" t="s">
        <v>201</v>
      </c>
      <c r="DK34" s="3" t="s">
        <v>201</v>
      </c>
      <c r="DL34" s="3" t="s">
        <v>201</v>
      </c>
      <c r="DM34" s="3" t="s">
        <v>201</v>
      </c>
      <c r="DN34" s="3" t="s">
        <v>201</v>
      </c>
      <c r="DO34" s="3" t="s">
        <v>201</v>
      </c>
      <c r="DP34" s="3" t="s">
        <v>201</v>
      </c>
      <c r="DQ34" s="3" t="s">
        <v>201</v>
      </c>
      <c r="DR34">
        <f t="shared" si="0"/>
        <v>2017</v>
      </c>
    </row>
    <row r="35" spans="1:122" x14ac:dyDescent="0.35">
      <c r="A35" s="1">
        <f t="shared" si="1"/>
        <v>43009</v>
      </c>
      <c r="B35" s="2">
        <v>116</v>
      </c>
      <c r="C35" s="2">
        <v>205</v>
      </c>
      <c r="D35" s="2">
        <v>155</v>
      </c>
      <c r="E35" s="2">
        <v>153</v>
      </c>
      <c r="F35" s="2">
        <v>68</v>
      </c>
      <c r="G35" s="2">
        <v>67</v>
      </c>
      <c r="H35" s="2">
        <v>51</v>
      </c>
      <c r="I35" s="2">
        <v>46</v>
      </c>
      <c r="J35" s="2">
        <v>31</v>
      </c>
      <c r="K35" s="2">
        <v>53</v>
      </c>
      <c r="L35" s="2">
        <v>44</v>
      </c>
      <c r="M35" s="2">
        <v>41</v>
      </c>
      <c r="N35" s="3">
        <v>34</v>
      </c>
      <c r="O35" s="3">
        <v>28</v>
      </c>
      <c r="P35" s="3">
        <v>21</v>
      </c>
      <c r="Q35" s="3">
        <v>32</v>
      </c>
      <c r="R35" s="3">
        <v>25</v>
      </c>
      <c r="S35" s="3">
        <v>26</v>
      </c>
      <c r="T35" s="3">
        <v>16</v>
      </c>
      <c r="U35" s="3">
        <v>17</v>
      </c>
      <c r="V35" s="3">
        <v>12</v>
      </c>
      <c r="W35" s="3">
        <v>20</v>
      </c>
      <c r="X35" s="3">
        <v>8</v>
      </c>
      <c r="Y35" s="3">
        <v>16</v>
      </c>
      <c r="Z35" s="3">
        <v>17</v>
      </c>
      <c r="AA35" s="3">
        <v>11</v>
      </c>
      <c r="AB35" s="3">
        <v>13</v>
      </c>
      <c r="AC35" s="3">
        <v>9</v>
      </c>
      <c r="AD35" s="3">
        <v>10</v>
      </c>
      <c r="AE35" s="3">
        <v>8</v>
      </c>
      <c r="AF35" s="3">
        <v>8</v>
      </c>
      <c r="AG35" s="3">
        <v>7</v>
      </c>
      <c r="AH35" s="3">
        <v>2</v>
      </c>
      <c r="AI35" s="3">
        <v>12</v>
      </c>
      <c r="AJ35" s="3">
        <v>1</v>
      </c>
      <c r="AK35" s="3">
        <v>4</v>
      </c>
      <c r="AL35" s="3">
        <v>11</v>
      </c>
      <c r="AM35" s="3">
        <v>3</v>
      </c>
      <c r="AN35" s="3">
        <v>8</v>
      </c>
      <c r="AO35" s="3">
        <v>3</v>
      </c>
      <c r="AP35" s="3">
        <v>2</v>
      </c>
      <c r="AQ35" s="3">
        <v>6</v>
      </c>
      <c r="AR35" s="3">
        <v>4</v>
      </c>
      <c r="AS35" s="3">
        <v>3</v>
      </c>
      <c r="AT35" s="3">
        <v>3</v>
      </c>
      <c r="AU35" s="3">
        <v>6</v>
      </c>
      <c r="AV35" s="3">
        <v>4</v>
      </c>
      <c r="AW35" s="3">
        <v>4</v>
      </c>
      <c r="AX35" s="3">
        <v>6</v>
      </c>
      <c r="AY35" s="3">
        <v>4</v>
      </c>
      <c r="AZ35" s="3">
        <v>1</v>
      </c>
      <c r="BA35" s="3">
        <v>5</v>
      </c>
      <c r="BB35" s="3">
        <v>2</v>
      </c>
      <c r="BC35" s="3">
        <v>1</v>
      </c>
      <c r="BD35" s="3">
        <v>3</v>
      </c>
      <c r="BE35" s="3">
        <v>5</v>
      </c>
      <c r="BF35" s="3">
        <v>0</v>
      </c>
      <c r="BG35" s="3">
        <v>1</v>
      </c>
      <c r="BH35" s="3">
        <v>3</v>
      </c>
      <c r="BI35" s="3">
        <v>4</v>
      </c>
      <c r="BJ35" s="3">
        <v>6</v>
      </c>
      <c r="BK35" s="3">
        <v>3</v>
      </c>
      <c r="BL35" s="3">
        <v>3</v>
      </c>
      <c r="BM35" s="3">
        <v>1</v>
      </c>
      <c r="BN35" s="3">
        <v>3</v>
      </c>
      <c r="BO35" s="3">
        <v>2</v>
      </c>
      <c r="BP35" s="3">
        <v>1</v>
      </c>
      <c r="BQ35" s="3">
        <v>1</v>
      </c>
      <c r="BR35" s="3">
        <v>3</v>
      </c>
      <c r="BS35" s="3">
        <v>2</v>
      </c>
      <c r="BT35" s="3">
        <v>0</v>
      </c>
      <c r="BU35" s="3">
        <v>3</v>
      </c>
      <c r="BV35" s="3">
        <v>1</v>
      </c>
      <c r="BW35" s="3">
        <v>1</v>
      </c>
      <c r="BX35" s="3">
        <v>1</v>
      </c>
      <c r="BY35" s="3">
        <v>0</v>
      </c>
      <c r="BZ35" s="3">
        <v>0</v>
      </c>
      <c r="CA35" s="3">
        <v>1</v>
      </c>
      <c r="CB35" s="3">
        <v>0</v>
      </c>
      <c r="CC35" s="3">
        <v>2</v>
      </c>
      <c r="CD35" s="3">
        <v>0</v>
      </c>
      <c r="CE35" s="3">
        <v>3</v>
      </c>
      <c r="CF35" s="3">
        <v>1</v>
      </c>
      <c r="CG35" s="3">
        <v>0</v>
      </c>
      <c r="CH35" s="3">
        <v>2</v>
      </c>
      <c r="CI35" s="3">
        <v>1</v>
      </c>
      <c r="CJ35" s="3">
        <v>0</v>
      </c>
      <c r="CK35" s="3" t="s">
        <v>201</v>
      </c>
      <c r="CL35" s="3" t="s">
        <v>201</v>
      </c>
      <c r="CM35" s="3" t="s">
        <v>201</v>
      </c>
      <c r="CN35" s="3" t="s">
        <v>201</v>
      </c>
      <c r="CO35" s="3" t="s">
        <v>201</v>
      </c>
      <c r="CP35" s="3" t="s">
        <v>201</v>
      </c>
      <c r="CQ35" s="3" t="s">
        <v>201</v>
      </c>
      <c r="CR35" s="3" t="s">
        <v>201</v>
      </c>
      <c r="CS35" s="3" t="s">
        <v>201</v>
      </c>
      <c r="CT35" s="3" t="s">
        <v>201</v>
      </c>
      <c r="CU35" s="3" t="s">
        <v>201</v>
      </c>
      <c r="CV35" s="3" t="s">
        <v>201</v>
      </c>
      <c r="CW35" s="3" t="s">
        <v>201</v>
      </c>
      <c r="CX35" s="3" t="s">
        <v>201</v>
      </c>
      <c r="CY35" s="3" t="s">
        <v>201</v>
      </c>
      <c r="CZ35" s="3" t="s">
        <v>201</v>
      </c>
      <c r="DA35" s="3" t="s">
        <v>201</v>
      </c>
      <c r="DB35" s="3" t="s">
        <v>201</v>
      </c>
      <c r="DC35" s="3" t="s">
        <v>201</v>
      </c>
      <c r="DD35" s="3" t="s">
        <v>201</v>
      </c>
      <c r="DE35" s="3" t="s">
        <v>201</v>
      </c>
      <c r="DF35" s="3" t="s">
        <v>201</v>
      </c>
      <c r="DG35" s="3" t="s">
        <v>201</v>
      </c>
      <c r="DH35" s="3" t="s">
        <v>201</v>
      </c>
      <c r="DI35" s="3" t="s">
        <v>201</v>
      </c>
      <c r="DJ35" s="3" t="s">
        <v>201</v>
      </c>
      <c r="DK35" s="3" t="s">
        <v>201</v>
      </c>
      <c r="DL35" s="3" t="s">
        <v>201</v>
      </c>
      <c r="DM35" s="3" t="s">
        <v>201</v>
      </c>
      <c r="DN35" s="3" t="s">
        <v>201</v>
      </c>
      <c r="DO35" s="3" t="s">
        <v>201</v>
      </c>
      <c r="DP35" s="3" t="s">
        <v>201</v>
      </c>
      <c r="DQ35" s="3" t="s">
        <v>201</v>
      </c>
      <c r="DR35">
        <f t="shared" si="0"/>
        <v>2017</v>
      </c>
    </row>
    <row r="36" spans="1:122" x14ac:dyDescent="0.35">
      <c r="A36" s="1">
        <f t="shared" si="1"/>
        <v>43040</v>
      </c>
      <c r="B36" s="2">
        <v>98</v>
      </c>
      <c r="C36" s="2">
        <v>160</v>
      </c>
      <c r="D36" s="2">
        <v>144</v>
      </c>
      <c r="E36" s="2">
        <v>136</v>
      </c>
      <c r="F36" s="2">
        <v>80</v>
      </c>
      <c r="G36" s="2">
        <v>43</v>
      </c>
      <c r="H36" s="2">
        <v>51</v>
      </c>
      <c r="I36" s="2">
        <v>41</v>
      </c>
      <c r="J36" s="2">
        <v>36</v>
      </c>
      <c r="K36" s="2">
        <v>41</v>
      </c>
      <c r="L36" s="2">
        <v>35</v>
      </c>
      <c r="M36" s="2">
        <v>30</v>
      </c>
      <c r="N36" s="3">
        <v>23</v>
      </c>
      <c r="O36" s="3">
        <v>26</v>
      </c>
      <c r="P36" s="3">
        <v>19</v>
      </c>
      <c r="Q36" s="3">
        <v>23</v>
      </c>
      <c r="R36" s="3">
        <v>26</v>
      </c>
      <c r="S36" s="3">
        <v>15</v>
      </c>
      <c r="T36" s="3">
        <v>17</v>
      </c>
      <c r="U36" s="3">
        <v>12</v>
      </c>
      <c r="V36" s="3">
        <v>14</v>
      </c>
      <c r="W36" s="3">
        <v>10</v>
      </c>
      <c r="X36" s="3">
        <v>11</v>
      </c>
      <c r="Y36" s="3">
        <v>6</v>
      </c>
      <c r="Z36" s="3">
        <v>9</v>
      </c>
      <c r="AA36" s="3">
        <v>14</v>
      </c>
      <c r="AB36" s="3">
        <v>7</v>
      </c>
      <c r="AC36" s="3">
        <v>3</v>
      </c>
      <c r="AD36" s="3">
        <v>6</v>
      </c>
      <c r="AE36" s="3">
        <v>9</v>
      </c>
      <c r="AF36" s="3">
        <v>6</v>
      </c>
      <c r="AG36" s="3">
        <v>8</v>
      </c>
      <c r="AH36" s="3">
        <v>6</v>
      </c>
      <c r="AI36" s="3">
        <v>10</v>
      </c>
      <c r="AJ36" s="3">
        <v>5</v>
      </c>
      <c r="AK36" s="3">
        <v>11</v>
      </c>
      <c r="AL36" s="3">
        <v>8</v>
      </c>
      <c r="AM36" s="3">
        <v>5</v>
      </c>
      <c r="AN36" s="3">
        <v>6</v>
      </c>
      <c r="AO36" s="3">
        <v>8</v>
      </c>
      <c r="AP36" s="3">
        <v>4</v>
      </c>
      <c r="AQ36" s="3">
        <v>7</v>
      </c>
      <c r="AR36" s="3">
        <v>6</v>
      </c>
      <c r="AS36" s="3">
        <v>1</v>
      </c>
      <c r="AT36" s="3">
        <v>3</v>
      </c>
      <c r="AU36" s="3">
        <v>2</v>
      </c>
      <c r="AV36" s="3">
        <v>8</v>
      </c>
      <c r="AW36" s="3">
        <v>3</v>
      </c>
      <c r="AX36" s="3">
        <v>3</v>
      </c>
      <c r="AY36" s="3">
        <v>5</v>
      </c>
      <c r="AZ36" s="3">
        <v>2</v>
      </c>
      <c r="BA36" s="3">
        <v>3</v>
      </c>
      <c r="BB36" s="3">
        <v>2</v>
      </c>
      <c r="BC36" s="3">
        <v>3</v>
      </c>
      <c r="BD36" s="3">
        <v>2</v>
      </c>
      <c r="BE36" s="3">
        <v>1</v>
      </c>
      <c r="BF36" s="3">
        <v>2</v>
      </c>
      <c r="BG36" s="3">
        <v>2</v>
      </c>
      <c r="BH36" s="3">
        <v>3</v>
      </c>
      <c r="BI36" s="3">
        <v>4</v>
      </c>
      <c r="BJ36" s="3">
        <v>4</v>
      </c>
      <c r="BK36" s="3">
        <v>3</v>
      </c>
      <c r="BL36" s="3">
        <v>3</v>
      </c>
      <c r="BM36" s="3">
        <v>2</v>
      </c>
      <c r="BN36" s="3">
        <v>3</v>
      </c>
      <c r="BO36" s="3">
        <v>2</v>
      </c>
      <c r="BP36" s="3">
        <v>3</v>
      </c>
      <c r="BQ36" s="3">
        <v>3</v>
      </c>
      <c r="BR36" s="3">
        <v>2</v>
      </c>
      <c r="BS36" s="3">
        <v>0</v>
      </c>
      <c r="BT36" s="3">
        <v>3</v>
      </c>
      <c r="BU36" s="3">
        <v>1</v>
      </c>
      <c r="BV36" s="3">
        <v>2</v>
      </c>
      <c r="BW36" s="3">
        <v>1</v>
      </c>
      <c r="BX36" s="3">
        <v>3</v>
      </c>
      <c r="BY36" s="3">
        <v>2</v>
      </c>
      <c r="BZ36" s="3">
        <v>2</v>
      </c>
      <c r="CA36" s="3">
        <v>1</v>
      </c>
      <c r="CB36" s="3">
        <v>2</v>
      </c>
      <c r="CC36" s="3">
        <v>2</v>
      </c>
      <c r="CD36" s="3">
        <v>0</v>
      </c>
      <c r="CE36" s="3">
        <v>0</v>
      </c>
      <c r="CF36" s="3">
        <v>0</v>
      </c>
      <c r="CG36" s="3">
        <v>5</v>
      </c>
      <c r="CH36" s="3">
        <v>1</v>
      </c>
      <c r="CI36" s="3">
        <v>3</v>
      </c>
      <c r="CJ36" s="3" t="s">
        <v>201</v>
      </c>
      <c r="CK36" s="3" t="s">
        <v>201</v>
      </c>
      <c r="CL36" s="3" t="s">
        <v>201</v>
      </c>
      <c r="CM36" s="3" t="s">
        <v>201</v>
      </c>
      <c r="CN36" s="3" t="s">
        <v>201</v>
      </c>
      <c r="CO36" s="3" t="s">
        <v>201</v>
      </c>
      <c r="CP36" s="3" t="s">
        <v>201</v>
      </c>
      <c r="CQ36" s="3" t="s">
        <v>201</v>
      </c>
      <c r="CR36" s="3" t="s">
        <v>201</v>
      </c>
      <c r="CS36" s="3" t="s">
        <v>201</v>
      </c>
      <c r="CT36" s="3" t="s">
        <v>201</v>
      </c>
      <c r="CU36" s="3" t="s">
        <v>201</v>
      </c>
      <c r="CV36" s="3" t="s">
        <v>201</v>
      </c>
      <c r="CW36" s="3" t="s">
        <v>201</v>
      </c>
      <c r="CX36" s="3" t="s">
        <v>201</v>
      </c>
      <c r="CY36" s="3" t="s">
        <v>201</v>
      </c>
      <c r="CZ36" s="3" t="s">
        <v>201</v>
      </c>
      <c r="DA36" s="3" t="s">
        <v>201</v>
      </c>
      <c r="DB36" s="3" t="s">
        <v>201</v>
      </c>
      <c r="DC36" s="3" t="s">
        <v>201</v>
      </c>
      <c r="DD36" s="3" t="s">
        <v>201</v>
      </c>
      <c r="DE36" s="3" t="s">
        <v>201</v>
      </c>
      <c r="DF36" s="3" t="s">
        <v>201</v>
      </c>
      <c r="DG36" s="3" t="s">
        <v>201</v>
      </c>
      <c r="DH36" s="3" t="s">
        <v>201</v>
      </c>
      <c r="DI36" s="3" t="s">
        <v>201</v>
      </c>
      <c r="DJ36" s="3" t="s">
        <v>201</v>
      </c>
      <c r="DK36" s="3" t="s">
        <v>201</v>
      </c>
      <c r="DL36" s="3" t="s">
        <v>201</v>
      </c>
      <c r="DM36" s="3" t="s">
        <v>201</v>
      </c>
      <c r="DN36" s="3" t="s">
        <v>201</v>
      </c>
      <c r="DO36" s="3" t="s">
        <v>201</v>
      </c>
      <c r="DP36" s="3" t="s">
        <v>201</v>
      </c>
      <c r="DQ36" s="3" t="s">
        <v>201</v>
      </c>
      <c r="DR36">
        <f t="shared" si="0"/>
        <v>2017</v>
      </c>
    </row>
    <row r="37" spans="1:122" x14ac:dyDescent="0.35">
      <c r="A37" s="1">
        <f t="shared" si="1"/>
        <v>43070</v>
      </c>
      <c r="B37" s="2">
        <v>94</v>
      </c>
      <c r="C37" s="2">
        <v>164</v>
      </c>
      <c r="D37" s="2">
        <v>175</v>
      </c>
      <c r="E37" s="2">
        <v>88</v>
      </c>
      <c r="F37" s="2">
        <v>65</v>
      </c>
      <c r="G37" s="2">
        <v>55</v>
      </c>
      <c r="H37" s="2">
        <v>48</v>
      </c>
      <c r="I37" s="2">
        <v>53</v>
      </c>
      <c r="J37" s="2">
        <v>33</v>
      </c>
      <c r="K37" s="2">
        <v>39</v>
      </c>
      <c r="L37" s="2">
        <v>29</v>
      </c>
      <c r="M37" s="2">
        <v>32</v>
      </c>
      <c r="N37" s="3">
        <v>29</v>
      </c>
      <c r="O37" s="3">
        <v>20</v>
      </c>
      <c r="P37" s="3">
        <v>18</v>
      </c>
      <c r="Q37" s="3">
        <v>25</v>
      </c>
      <c r="R37" s="3">
        <v>29</v>
      </c>
      <c r="S37" s="3">
        <v>20</v>
      </c>
      <c r="T37" s="3">
        <v>13</v>
      </c>
      <c r="U37" s="3">
        <v>19</v>
      </c>
      <c r="V37" s="3">
        <v>6</v>
      </c>
      <c r="W37" s="3">
        <v>9</v>
      </c>
      <c r="X37" s="3">
        <v>7</v>
      </c>
      <c r="Y37" s="3">
        <v>8</v>
      </c>
      <c r="Z37" s="3">
        <v>8</v>
      </c>
      <c r="AA37" s="3">
        <v>7</v>
      </c>
      <c r="AB37" s="3">
        <v>6</v>
      </c>
      <c r="AC37" s="3">
        <v>16</v>
      </c>
      <c r="AD37" s="3">
        <v>9</v>
      </c>
      <c r="AE37" s="3">
        <v>11</v>
      </c>
      <c r="AF37" s="3">
        <v>6</v>
      </c>
      <c r="AG37" s="3">
        <v>9</v>
      </c>
      <c r="AH37" s="3">
        <v>4</v>
      </c>
      <c r="AI37" s="3">
        <v>5</v>
      </c>
      <c r="AJ37" s="3">
        <v>4</v>
      </c>
      <c r="AK37" s="3">
        <v>7</v>
      </c>
      <c r="AL37" s="3">
        <v>4</v>
      </c>
      <c r="AM37" s="3">
        <v>5</v>
      </c>
      <c r="AN37" s="3">
        <v>7</v>
      </c>
      <c r="AO37" s="3">
        <v>5</v>
      </c>
      <c r="AP37" s="3">
        <v>3</v>
      </c>
      <c r="AQ37" s="3">
        <v>9</v>
      </c>
      <c r="AR37" s="3">
        <v>5</v>
      </c>
      <c r="AS37" s="3">
        <v>4</v>
      </c>
      <c r="AT37" s="3">
        <v>4</v>
      </c>
      <c r="AU37" s="3">
        <v>2</v>
      </c>
      <c r="AV37" s="3">
        <v>6</v>
      </c>
      <c r="AW37" s="3">
        <v>2</v>
      </c>
      <c r="AX37" s="3">
        <v>7</v>
      </c>
      <c r="AY37" s="3">
        <v>3</v>
      </c>
      <c r="AZ37" s="3">
        <v>1</v>
      </c>
      <c r="BA37" s="3">
        <v>7</v>
      </c>
      <c r="BB37" s="3">
        <v>1</v>
      </c>
      <c r="BC37" s="3">
        <v>2</v>
      </c>
      <c r="BD37" s="3">
        <v>5</v>
      </c>
      <c r="BE37" s="3">
        <v>2</v>
      </c>
      <c r="BF37" s="3">
        <v>2</v>
      </c>
      <c r="BG37" s="3">
        <v>4</v>
      </c>
      <c r="BH37" s="3">
        <v>1</v>
      </c>
      <c r="BI37" s="3">
        <v>2</v>
      </c>
      <c r="BJ37" s="3">
        <v>3</v>
      </c>
      <c r="BK37" s="3">
        <v>3</v>
      </c>
      <c r="BL37" s="3">
        <v>2</v>
      </c>
      <c r="BM37" s="3">
        <v>1</v>
      </c>
      <c r="BN37" s="3">
        <v>2</v>
      </c>
      <c r="BO37" s="3">
        <v>1</v>
      </c>
      <c r="BP37" s="3">
        <v>1</v>
      </c>
      <c r="BQ37" s="3">
        <v>1</v>
      </c>
      <c r="BR37" s="3">
        <v>0</v>
      </c>
      <c r="BS37" s="3">
        <v>1</v>
      </c>
      <c r="BT37" s="3">
        <v>3</v>
      </c>
      <c r="BU37" s="3">
        <v>1</v>
      </c>
      <c r="BV37" s="3">
        <v>3</v>
      </c>
      <c r="BW37" s="3">
        <v>4</v>
      </c>
      <c r="BX37" s="3">
        <v>4</v>
      </c>
      <c r="BY37" s="3">
        <v>2</v>
      </c>
      <c r="BZ37" s="3">
        <v>1</v>
      </c>
      <c r="CA37" s="3">
        <v>0</v>
      </c>
      <c r="CB37" s="3">
        <v>1</v>
      </c>
      <c r="CC37" s="3">
        <v>3</v>
      </c>
      <c r="CD37" s="3">
        <v>1</v>
      </c>
      <c r="CE37" s="3">
        <v>3</v>
      </c>
      <c r="CF37" s="3">
        <v>2</v>
      </c>
      <c r="CG37" s="3">
        <v>0</v>
      </c>
      <c r="CH37" s="3">
        <v>0</v>
      </c>
      <c r="CI37" s="3" t="s">
        <v>201</v>
      </c>
      <c r="CJ37" s="3" t="s">
        <v>201</v>
      </c>
      <c r="CK37" s="3" t="s">
        <v>201</v>
      </c>
      <c r="CL37" s="3" t="s">
        <v>201</v>
      </c>
      <c r="CM37" s="3" t="s">
        <v>201</v>
      </c>
      <c r="CN37" s="3" t="s">
        <v>201</v>
      </c>
      <c r="CO37" s="3" t="s">
        <v>201</v>
      </c>
      <c r="CP37" s="3" t="s">
        <v>201</v>
      </c>
      <c r="CQ37" s="3" t="s">
        <v>201</v>
      </c>
      <c r="CR37" s="3" t="s">
        <v>201</v>
      </c>
      <c r="CS37" s="3" t="s">
        <v>201</v>
      </c>
      <c r="CT37" s="3" t="s">
        <v>201</v>
      </c>
      <c r="CU37" s="3" t="s">
        <v>201</v>
      </c>
      <c r="CV37" s="3" t="s">
        <v>201</v>
      </c>
      <c r="CW37" s="3" t="s">
        <v>201</v>
      </c>
      <c r="CX37" s="3" t="s">
        <v>201</v>
      </c>
      <c r="CY37" s="3" t="s">
        <v>201</v>
      </c>
      <c r="CZ37" s="3" t="s">
        <v>201</v>
      </c>
      <c r="DA37" s="3" t="s">
        <v>201</v>
      </c>
      <c r="DB37" s="3" t="s">
        <v>201</v>
      </c>
      <c r="DC37" s="3" t="s">
        <v>201</v>
      </c>
      <c r="DD37" s="3" t="s">
        <v>201</v>
      </c>
      <c r="DE37" s="3" t="s">
        <v>201</v>
      </c>
      <c r="DF37" s="3" t="s">
        <v>201</v>
      </c>
      <c r="DG37" s="3" t="s">
        <v>201</v>
      </c>
      <c r="DH37" s="3" t="s">
        <v>201</v>
      </c>
      <c r="DI37" s="3" t="s">
        <v>201</v>
      </c>
      <c r="DJ37" s="3" t="s">
        <v>201</v>
      </c>
      <c r="DK37" s="3" t="s">
        <v>201</v>
      </c>
      <c r="DL37" s="3" t="s">
        <v>201</v>
      </c>
      <c r="DM37" s="3" t="s">
        <v>201</v>
      </c>
      <c r="DN37" s="3" t="s">
        <v>201</v>
      </c>
      <c r="DO37" s="3" t="s">
        <v>201</v>
      </c>
      <c r="DP37" s="3" t="s">
        <v>201</v>
      </c>
      <c r="DQ37" s="3" t="s">
        <v>201</v>
      </c>
      <c r="DR37">
        <f t="shared" si="0"/>
        <v>2017</v>
      </c>
    </row>
    <row r="38" spans="1:122" x14ac:dyDescent="0.35">
      <c r="A38" s="4">
        <f t="shared" si="1"/>
        <v>43101</v>
      </c>
      <c r="B38" s="5">
        <v>103</v>
      </c>
      <c r="C38" s="5">
        <v>234</v>
      </c>
      <c r="D38" s="5">
        <v>150</v>
      </c>
      <c r="E38" s="5">
        <v>117</v>
      </c>
      <c r="F38" s="5">
        <v>52</v>
      </c>
      <c r="G38" s="5">
        <v>61</v>
      </c>
      <c r="H38" s="5">
        <v>45</v>
      </c>
      <c r="I38" s="5">
        <v>67</v>
      </c>
      <c r="J38" s="5">
        <v>41</v>
      </c>
      <c r="K38" s="5">
        <v>32</v>
      </c>
      <c r="L38" s="5">
        <v>36</v>
      </c>
      <c r="M38" s="5">
        <v>31</v>
      </c>
      <c r="N38" s="5">
        <v>21</v>
      </c>
      <c r="O38" s="5">
        <v>29</v>
      </c>
      <c r="P38" s="5">
        <v>23</v>
      </c>
      <c r="Q38" s="5">
        <v>19</v>
      </c>
      <c r="R38" s="5">
        <v>18</v>
      </c>
      <c r="S38" s="5">
        <v>19</v>
      </c>
      <c r="T38" s="5">
        <v>20</v>
      </c>
      <c r="U38" s="5">
        <v>11</v>
      </c>
      <c r="V38" s="5">
        <v>13</v>
      </c>
      <c r="W38" s="5">
        <v>13</v>
      </c>
      <c r="X38" s="5">
        <v>11</v>
      </c>
      <c r="Y38" s="5">
        <v>7</v>
      </c>
      <c r="Z38" s="5">
        <v>9</v>
      </c>
      <c r="AA38" s="5">
        <v>7</v>
      </c>
      <c r="AB38" s="5">
        <v>5</v>
      </c>
      <c r="AC38" s="5">
        <v>4</v>
      </c>
      <c r="AD38" s="5">
        <v>10</v>
      </c>
      <c r="AE38" s="5">
        <v>4</v>
      </c>
      <c r="AF38" s="5">
        <v>6</v>
      </c>
      <c r="AG38" s="5">
        <v>4</v>
      </c>
      <c r="AH38" s="5">
        <v>7</v>
      </c>
      <c r="AI38" s="5">
        <v>5</v>
      </c>
      <c r="AJ38" s="5">
        <v>6</v>
      </c>
      <c r="AK38" s="5">
        <v>3</v>
      </c>
      <c r="AL38" s="5">
        <v>2</v>
      </c>
      <c r="AM38" s="5">
        <v>5</v>
      </c>
      <c r="AN38" s="5">
        <v>2</v>
      </c>
      <c r="AO38" s="5">
        <v>5</v>
      </c>
      <c r="AP38" s="5">
        <v>3</v>
      </c>
      <c r="AQ38" s="5">
        <v>6</v>
      </c>
      <c r="AR38" s="5">
        <v>4</v>
      </c>
      <c r="AS38" s="5">
        <v>4</v>
      </c>
      <c r="AT38" s="5">
        <v>4</v>
      </c>
      <c r="AU38" s="5">
        <v>3</v>
      </c>
      <c r="AV38" s="5">
        <v>5</v>
      </c>
      <c r="AW38" s="5">
        <v>2</v>
      </c>
      <c r="AX38" s="5">
        <v>3</v>
      </c>
      <c r="AY38" s="5">
        <v>2</v>
      </c>
      <c r="AZ38" s="5">
        <v>2</v>
      </c>
      <c r="BA38" s="5">
        <v>5</v>
      </c>
      <c r="BB38" s="5">
        <v>3</v>
      </c>
      <c r="BC38" s="5">
        <v>2</v>
      </c>
      <c r="BD38" s="5">
        <v>7</v>
      </c>
      <c r="BE38" s="5">
        <v>2</v>
      </c>
      <c r="BF38" s="5">
        <v>4</v>
      </c>
      <c r="BG38" s="5">
        <v>2</v>
      </c>
      <c r="BH38" s="5">
        <v>4</v>
      </c>
      <c r="BI38" s="5">
        <v>1</v>
      </c>
      <c r="BJ38" s="5">
        <v>1</v>
      </c>
      <c r="BK38" s="5">
        <v>1</v>
      </c>
      <c r="BL38" s="5">
        <v>7</v>
      </c>
      <c r="BM38" s="5">
        <v>1</v>
      </c>
      <c r="BN38" s="5">
        <v>3</v>
      </c>
      <c r="BO38" s="5">
        <v>1</v>
      </c>
      <c r="BP38" s="5">
        <v>0</v>
      </c>
      <c r="BQ38" s="5">
        <v>3</v>
      </c>
      <c r="BR38" s="5">
        <v>2</v>
      </c>
      <c r="BS38" s="5">
        <v>1</v>
      </c>
      <c r="BT38" s="5">
        <v>1</v>
      </c>
      <c r="BU38" s="5">
        <v>2</v>
      </c>
      <c r="BV38" s="5">
        <v>3</v>
      </c>
      <c r="BW38" s="5">
        <v>1</v>
      </c>
      <c r="BX38" s="5">
        <v>1</v>
      </c>
      <c r="BY38" s="5">
        <v>3</v>
      </c>
      <c r="BZ38" s="5">
        <v>1</v>
      </c>
      <c r="CA38" s="5">
        <v>0</v>
      </c>
      <c r="CB38" s="5">
        <v>0</v>
      </c>
      <c r="CC38" s="5">
        <v>1</v>
      </c>
      <c r="CD38" s="5">
        <v>0</v>
      </c>
      <c r="CE38" s="5">
        <v>1</v>
      </c>
      <c r="CF38" s="5">
        <v>1</v>
      </c>
      <c r="CG38" s="5">
        <v>2</v>
      </c>
      <c r="CH38" s="5" t="s">
        <v>201</v>
      </c>
      <c r="CI38" s="5" t="s">
        <v>201</v>
      </c>
      <c r="CJ38" s="5" t="s">
        <v>201</v>
      </c>
      <c r="CK38" s="5" t="s">
        <v>201</v>
      </c>
      <c r="CL38" s="5" t="s">
        <v>201</v>
      </c>
      <c r="CM38" s="5" t="s">
        <v>201</v>
      </c>
      <c r="CN38" s="5" t="s">
        <v>201</v>
      </c>
      <c r="CO38" s="5" t="s">
        <v>201</v>
      </c>
      <c r="CP38" s="5" t="s">
        <v>201</v>
      </c>
      <c r="CQ38" s="5" t="s">
        <v>201</v>
      </c>
      <c r="CR38" s="5" t="s">
        <v>201</v>
      </c>
      <c r="CS38" s="5" t="s">
        <v>201</v>
      </c>
      <c r="CT38" s="5" t="s">
        <v>201</v>
      </c>
      <c r="CU38" s="5" t="s">
        <v>201</v>
      </c>
      <c r="CV38" s="5" t="s">
        <v>201</v>
      </c>
      <c r="CW38" s="5" t="s">
        <v>201</v>
      </c>
      <c r="CX38" s="5" t="s">
        <v>201</v>
      </c>
      <c r="CY38" s="5" t="s">
        <v>201</v>
      </c>
      <c r="CZ38" s="5" t="s">
        <v>201</v>
      </c>
      <c r="DA38" s="5" t="s">
        <v>201</v>
      </c>
      <c r="DB38" s="5" t="s">
        <v>201</v>
      </c>
      <c r="DC38" s="5" t="s">
        <v>201</v>
      </c>
      <c r="DD38" s="5" t="s">
        <v>201</v>
      </c>
      <c r="DE38" s="5" t="s">
        <v>201</v>
      </c>
      <c r="DF38" s="5" t="s">
        <v>201</v>
      </c>
      <c r="DG38" s="5" t="s">
        <v>201</v>
      </c>
      <c r="DH38" s="5" t="s">
        <v>201</v>
      </c>
      <c r="DI38" s="5" t="s">
        <v>201</v>
      </c>
      <c r="DJ38" s="5" t="s">
        <v>201</v>
      </c>
      <c r="DK38" s="5" t="s">
        <v>201</v>
      </c>
      <c r="DL38" s="5" t="s">
        <v>201</v>
      </c>
      <c r="DM38" s="5" t="s">
        <v>201</v>
      </c>
      <c r="DN38" s="5" t="s">
        <v>201</v>
      </c>
      <c r="DO38" s="5" t="s">
        <v>201</v>
      </c>
      <c r="DP38" s="5" t="s">
        <v>201</v>
      </c>
      <c r="DQ38" s="5" t="s">
        <v>201</v>
      </c>
      <c r="DR38">
        <f t="shared" si="0"/>
        <v>2018</v>
      </c>
    </row>
    <row r="39" spans="1:122" x14ac:dyDescent="0.35">
      <c r="A39" s="1">
        <f t="shared" si="1"/>
        <v>43132</v>
      </c>
      <c r="B39" s="2">
        <v>111</v>
      </c>
      <c r="C39" s="2">
        <v>184</v>
      </c>
      <c r="D39" s="2">
        <v>139</v>
      </c>
      <c r="E39" s="2">
        <v>104</v>
      </c>
      <c r="F39" s="2">
        <v>64</v>
      </c>
      <c r="G39" s="2">
        <v>78</v>
      </c>
      <c r="H39" s="2">
        <v>51</v>
      </c>
      <c r="I39" s="2">
        <v>52</v>
      </c>
      <c r="J39" s="2">
        <v>48</v>
      </c>
      <c r="K39" s="2">
        <v>52</v>
      </c>
      <c r="L39" s="2">
        <v>30</v>
      </c>
      <c r="M39" s="2">
        <v>35</v>
      </c>
      <c r="N39" s="3">
        <v>28</v>
      </c>
      <c r="O39" s="3">
        <v>35</v>
      </c>
      <c r="P39" s="3">
        <v>31</v>
      </c>
      <c r="Q39" s="3">
        <v>27</v>
      </c>
      <c r="R39" s="3">
        <v>15</v>
      </c>
      <c r="S39" s="3">
        <v>20</v>
      </c>
      <c r="T39" s="3">
        <v>15</v>
      </c>
      <c r="U39" s="3">
        <v>19</v>
      </c>
      <c r="V39" s="3">
        <v>12</v>
      </c>
      <c r="W39" s="3">
        <v>16</v>
      </c>
      <c r="X39" s="3">
        <v>5</v>
      </c>
      <c r="Y39" s="3">
        <v>11</v>
      </c>
      <c r="Z39" s="3">
        <v>7</v>
      </c>
      <c r="AA39" s="3">
        <v>14</v>
      </c>
      <c r="AB39" s="3">
        <v>12</v>
      </c>
      <c r="AC39" s="3">
        <v>12</v>
      </c>
      <c r="AD39" s="3">
        <v>5</v>
      </c>
      <c r="AE39" s="3">
        <v>15</v>
      </c>
      <c r="AF39" s="3">
        <v>6</v>
      </c>
      <c r="AG39" s="3">
        <v>3</v>
      </c>
      <c r="AH39" s="3">
        <v>3</v>
      </c>
      <c r="AI39" s="3">
        <v>12</v>
      </c>
      <c r="AJ39" s="3">
        <v>6</v>
      </c>
      <c r="AK39" s="3">
        <v>8</v>
      </c>
      <c r="AL39" s="3">
        <v>8</v>
      </c>
      <c r="AM39" s="3">
        <v>4</v>
      </c>
      <c r="AN39" s="3">
        <v>9</v>
      </c>
      <c r="AO39" s="3">
        <v>3</v>
      </c>
      <c r="AP39" s="3">
        <v>1</v>
      </c>
      <c r="AQ39" s="3">
        <v>5</v>
      </c>
      <c r="AR39" s="3">
        <v>7</v>
      </c>
      <c r="AS39" s="3">
        <v>2</v>
      </c>
      <c r="AT39" s="3">
        <v>3</v>
      </c>
      <c r="AU39" s="3">
        <v>6</v>
      </c>
      <c r="AV39" s="3">
        <v>5</v>
      </c>
      <c r="AW39" s="3">
        <v>3</v>
      </c>
      <c r="AX39" s="3">
        <v>4</v>
      </c>
      <c r="AY39" s="3">
        <v>5</v>
      </c>
      <c r="AZ39" s="3">
        <v>3</v>
      </c>
      <c r="BA39" s="3">
        <v>3</v>
      </c>
      <c r="BB39" s="3">
        <v>2</v>
      </c>
      <c r="BC39" s="3">
        <v>4</v>
      </c>
      <c r="BD39" s="3">
        <v>0</v>
      </c>
      <c r="BE39" s="3">
        <v>6</v>
      </c>
      <c r="BF39" s="3">
        <v>0</v>
      </c>
      <c r="BG39" s="3">
        <v>3</v>
      </c>
      <c r="BH39" s="3">
        <v>2</v>
      </c>
      <c r="BI39" s="3">
        <v>4</v>
      </c>
      <c r="BJ39" s="3">
        <v>3</v>
      </c>
      <c r="BK39" s="3">
        <v>6</v>
      </c>
      <c r="BL39" s="3">
        <v>3</v>
      </c>
      <c r="BM39" s="3">
        <v>3</v>
      </c>
      <c r="BN39" s="3">
        <v>4</v>
      </c>
      <c r="BO39" s="3">
        <v>2</v>
      </c>
      <c r="BP39" s="3">
        <v>0</v>
      </c>
      <c r="BQ39" s="3">
        <v>2</v>
      </c>
      <c r="BR39" s="3">
        <v>0</v>
      </c>
      <c r="BS39" s="3">
        <v>2</v>
      </c>
      <c r="BT39" s="3">
        <v>0</v>
      </c>
      <c r="BU39" s="3">
        <v>2</v>
      </c>
      <c r="BV39" s="3">
        <v>3</v>
      </c>
      <c r="BW39" s="3">
        <v>0</v>
      </c>
      <c r="BX39" s="3">
        <v>2</v>
      </c>
      <c r="BY39" s="3">
        <v>2</v>
      </c>
      <c r="BZ39" s="3">
        <v>2</v>
      </c>
      <c r="CA39" s="3">
        <v>1</v>
      </c>
      <c r="CB39" s="3">
        <v>3</v>
      </c>
      <c r="CC39" s="3">
        <v>1</v>
      </c>
      <c r="CD39" s="3">
        <v>2</v>
      </c>
      <c r="CE39" s="3">
        <v>0</v>
      </c>
      <c r="CF39" s="3">
        <v>0</v>
      </c>
      <c r="CG39" s="3" t="s">
        <v>201</v>
      </c>
      <c r="CH39" s="3" t="s">
        <v>201</v>
      </c>
      <c r="CI39" s="3" t="s">
        <v>201</v>
      </c>
      <c r="CJ39" s="3" t="s">
        <v>201</v>
      </c>
      <c r="CK39" s="3" t="s">
        <v>201</v>
      </c>
      <c r="CL39" s="3" t="s">
        <v>201</v>
      </c>
      <c r="CM39" s="3" t="s">
        <v>201</v>
      </c>
      <c r="CN39" s="3" t="s">
        <v>201</v>
      </c>
      <c r="CO39" s="3" t="s">
        <v>201</v>
      </c>
      <c r="CP39" s="3" t="s">
        <v>201</v>
      </c>
      <c r="CQ39" s="3" t="s">
        <v>201</v>
      </c>
      <c r="CR39" s="3" t="s">
        <v>201</v>
      </c>
      <c r="CS39" s="3" t="s">
        <v>201</v>
      </c>
      <c r="CT39" s="3" t="s">
        <v>201</v>
      </c>
      <c r="CU39" s="3" t="s">
        <v>201</v>
      </c>
      <c r="CV39" s="3" t="s">
        <v>201</v>
      </c>
      <c r="CW39" s="3" t="s">
        <v>201</v>
      </c>
      <c r="CX39" s="3" t="s">
        <v>201</v>
      </c>
      <c r="CY39" s="3" t="s">
        <v>201</v>
      </c>
      <c r="CZ39" s="3" t="s">
        <v>201</v>
      </c>
      <c r="DA39" s="3" t="s">
        <v>201</v>
      </c>
      <c r="DB39" s="3" t="s">
        <v>201</v>
      </c>
      <c r="DC39" s="3" t="s">
        <v>201</v>
      </c>
      <c r="DD39" s="3" t="s">
        <v>201</v>
      </c>
      <c r="DE39" s="3" t="s">
        <v>201</v>
      </c>
      <c r="DF39" s="3" t="s">
        <v>201</v>
      </c>
      <c r="DG39" s="3" t="s">
        <v>201</v>
      </c>
      <c r="DH39" s="3" t="s">
        <v>201</v>
      </c>
      <c r="DI39" s="3" t="s">
        <v>201</v>
      </c>
      <c r="DJ39" s="3" t="s">
        <v>201</v>
      </c>
      <c r="DK39" s="3" t="s">
        <v>201</v>
      </c>
      <c r="DL39" s="3" t="s">
        <v>201</v>
      </c>
      <c r="DM39" s="3" t="s">
        <v>201</v>
      </c>
      <c r="DN39" s="3" t="s">
        <v>201</v>
      </c>
      <c r="DO39" s="3" t="s">
        <v>201</v>
      </c>
      <c r="DP39" s="3" t="s">
        <v>201</v>
      </c>
      <c r="DQ39" s="3" t="s">
        <v>201</v>
      </c>
      <c r="DR39">
        <f t="shared" si="0"/>
        <v>2018</v>
      </c>
    </row>
    <row r="40" spans="1:122" x14ac:dyDescent="0.35">
      <c r="A40" s="1">
        <f t="shared" si="1"/>
        <v>43160</v>
      </c>
      <c r="B40" s="2">
        <v>100</v>
      </c>
      <c r="C40" s="2">
        <v>219</v>
      </c>
      <c r="D40" s="2">
        <v>155</v>
      </c>
      <c r="E40" s="2">
        <v>108</v>
      </c>
      <c r="F40" s="2">
        <v>71</v>
      </c>
      <c r="G40" s="2">
        <v>70</v>
      </c>
      <c r="H40" s="2">
        <v>74</v>
      </c>
      <c r="I40" s="2">
        <v>56</v>
      </c>
      <c r="J40" s="2">
        <v>40</v>
      </c>
      <c r="K40" s="2">
        <v>32</v>
      </c>
      <c r="L40" s="2">
        <v>39</v>
      </c>
      <c r="M40" s="2">
        <v>32</v>
      </c>
      <c r="N40" s="3">
        <v>34</v>
      </c>
      <c r="O40" s="3">
        <v>23</v>
      </c>
      <c r="P40" s="3">
        <v>24</v>
      </c>
      <c r="Q40" s="3">
        <v>20</v>
      </c>
      <c r="R40" s="3">
        <v>22</v>
      </c>
      <c r="S40" s="3">
        <v>27</v>
      </c>
      <c r="T40" s="3">
        <v>21</v>
      </c>
      <c r="U40" s="3">
        <v>18</v>
      </c>
      <c r="V40" s="3">
        <v>8</v>
      </c>
      <c r="W40" s="3">
        <v>16</v>
      </c>
      <c r="X40" s="3">
        <v>21</v>
      </c>
      <c r="Y40" s="3">
        <v>15</v>
      </c>
      <c r="Z40" s="3">
        <v>16</v>
      </c>
      <c r="AA40" s="3">
        <v>7</v>
      </c>
      <c r="AB40" s="3">
        <v>11</v>
      </c>
      <c r="AC40" s="3">
        <v>11</v>
      </c>
      <c r="AD40" s="3">
        <v>11</v>
      </c>
      <c r="AE40" s="3">
        <v>6</v>
      </c>
      <c r="AF40" s="3">
        <v>6</v>
      </c>
      <c r="AG40" s="3">
        <v>7</v>
      </c>
      <c r="AH40" s="3">
        <v>11</v>
      </c>
      <c r="AI40" s="3">
        <v>6</v>
      </c>
      <c r="AJ40" s="3">
        <v>5</v>
      </c>
      <c r="AK40" s="3">
        <v>6</v>
      </c>
      <c r="AL40" s="3">
        <v>6</v>
      </c>
      <c r="AM40" s="3">
        <v>6</v>
      </c>
      <c r="AN40" s="3">
        <v>6</v>
      </c>
      <c r="AO40" s="3">
        <v>6</v>
      </c>
      <c r="AP40" s="3">
        <v>6</v>
      </c>
      <c r="AQ40" s="3">
        <v>5</v>
      </c>
      <c r="AR40" s="3">
        <v>6</v>
      </c>
      <c r="AS40" s="3">
        <v>8</v>
      </c>
      <c r="AT40" s="3">
        <v>5</v>
      </c>
      <c r="AU40" s="3">
        <v>4</v>
      </c>
      <c r="AV40" s="3">
        <v>1</v>
      </c>
      <c r="AW40" s="3">
        <v>6</v>
      </c>
      <c r="AX40" s="3">
        <v>3</v>
      </c>
      <c r="AY40" s="3">
        <v>2</v>
      </c>
      <c r="AZ40" s="3">
        <v>2</v>
      </c>
      <c r="BA40" s="3">
        <v>6</v>
      </c>
      <c r="BB40" s="3">
        <v>7</v>
      </c>
      <c r="BC40" s="3">
        <v>5</v>
      </c>
      <c r="BD40" s="3">
        <v>4</v>
      </c>
      <c r="BE40" s="3">
        <v>0</v>
      </c>
      <c r="BF40" s="3">
        <v>2</v>
      </c>
      <c r="BG40" s="3">
        <v>3</v>
      </c>
      <c r="BH40" s="3">
        <v>0</v>
      </c>
      <c r="BI40" s="3">
        <v>3</v>
      </c>
      <c r="BJ40" s="3">
        <v>3</v>
      </c>
      <c r="BK40" s="3">
        <v>5</v>
      </c>
      <c r="BL40" s="3">
        <v>1</v>
      </c>
      <c r="BM40" s="3">
        <v>3</v>
      </c>
      <c r="BN40" s="3">
        <v>1</v>
      </c>
      <c r="BO40" s="3">
        <v>1</v>
      </c>
      <c r="BP40" s="3">
        <v>1</v>
      </c>
      <c r="BQ40" s="3">
        <v>0</v>
      </c>
      <c r="BR40" s="3">
        <v>1</v>
      </c>
      <c r="BS40" s="3">
        <v>1</v>
      </c>
      <c r="BT40" s="3">
        <v>3</v>
      </c>
      <c r="BU40" s="3">
        <v>2</v>
      </c>
      <c r="BV40" s="3">
        <v>0</v>
      </c>
      <c r="BW40" s="3">
        <v>0</v>
      </c>
      <c r="BX40" s="3">
        <v>3</v>
      </c>
      <c r="BY40" s="3">
        <v>0</v>
      </c>
      <c r="BZ40" s="3">
        <v>2</v>
      </c>
      <c r="CA40" s="3">
        <v>1</v>
      </c>
      <c r="CB40" s="3">
        <v>0</v>
      </c>
      <c r="CC40" s="3">
        <v>2</v>
      </c>
      <c r="CD40" s="3">
        <v>2</v>
      </c>
      <c r="CE40" s="3">
        <v>0</v>
      </c>
      <c r="CF40" s="3" t="s">
        <v>201</v>
      </c>
      <c r="CG40" s="3" t="s">
        <v>201</v>
      </c>
      <c r="CH40" s="3" t="s">
        <v>201</v>
      </c>
      <c r="CI40" s="3" t="s">
        <v>201</v>
      </c>
      <c r="CJ40" s="3" t="s">
        <v>201</v>
      </c>
      <c r="CK40" s="3" t="s">
        <v>201</v>
      </c>
      <c r="CL40" s="3" t="s">
        <v>201</v>
      </c>
      <c r="CM40" s="3" t="s">
        <v>201</v>
      </c>
      <c r="CN40" s="3" t="s">
        <v>201</v>
      </c>
      <c r="CO40" s="3" t="s">
        <v>201</v>
      </c>
      <c r="CP40" s="3" t="s">
        <v>201</v>
      </c>
      <c r="CQ40" s="3" t="s">
        <v>201</v>
      </c>
      <c r="CR40" s="3" t="s">
        <v>201</v>
      </c>
      <c r="CS40" s="3" t="s">
        <v>201</v>
      </c>
      <c r="CT40" s="3" t="s">
        <v>201</v>
      </c>
      <c r="CU40" s="3" t="s">
        <v>201</v>
      </c>
      <c r="CV40" s="3" t="s">
        <v>201</v>
      </c>
      <c r="CW40" s="3" t="s">
        <v>201</v>
      </c>
      <c r="CX40" s="3" t="s">
        <v>201</v>
      </c>
      <c r="CY40" s="3" t="s">
        <v>201</v>
      </c>
      <c r="CZ40" s="3" t="s">
        <v>201</v>
      </c>
      <c r="DA40" s="3" t="s">
        <v>201</v>
      </c>
      <c r="DB40" s="3" t="s">
        <v>201</v>
      </c>
      <c r="DC40" s="3" t="s">
        <v>201</v>
      </c>
      <c r="DD40" s="3" t="s">
        <v>201</v>
      </c>
      <c r="DE40" s="3" t="s">
        <v>201</v>
      </c>
      <c r="DF40" s="3" t="s">
        <v>201</v>
      </c>
      <c r="DG40" s="3" t="s">
        <v>201</v>
      </c>
      <c r="DH40" s="3" t="s">
        <v>201</v>
      </c>
      <c r="DI40" s="3" t="s">
        <v>201</v>
      </c>
      <c r="DJ40" s="3" t="s">
        <v>201</v>
      </c>
      <c r="DK40" s="3" t="s">
        <v>201</v>
      </c>
      <c r="DL40" s="3" t="s">
        <v>201</v>
      </c>
      <c r="DM40" s="3" t="s">
        <v>201</v>
      </c>
      <c r="DN40" s="3" t="s">
        <v>201</v>
      </c>
      <c r="DO40" s="3" t="s">
        <v>201</v>
      </c>
      <c r="DP40" s="3" t="s">
        <v>201</v>
      </c>
      <c r="DQ40" s="3" t="s">
        <v>201</v>
      </c>
      <c r="DR40">
        <f t="shared" si="0"/>
        <v>2018</v>
      </c>
    </row>
    <row r="41" spans="1:122" x14ac:dyDescent="0.35">
      <c r="A41" s="1">
        <f t="shared" si="1"/>
        <v>43191</v>
      </c>
      <c r="B41" s="2">
        <v>104</v>
      </c>
      <c r="C41" s="2">
        <v>209</v>
      </c>
      <c r="D41" s="2">
        <v>168</v>
      </c>
      <c r="E41" s="2">
        <v>140</v>
      </c>
      <c r="F41" s="2">
        <v>78</v>
      </c>
      <c r="G41" s="2">
        <v>71</v>
      </c>
      <c r="H41" s="2">
        <v>68</v>
      </c>
      <c r="I41" s="2">
        <v>42</v>
      </c>
      <c r="J41" s="2">
        <v>29</v>
      </c>
      <c r="K41" s="2">
        <v>43</v>
      </c>
      <c r="L41" s="2">
        <v>29</v>
      </c>
      <c r="M41" s="2">
        <v>43</v>
      </c>
      <c r="N41" s="3">
        <v>40</v>
      </c>
      <c r="O41" s="3">
        <v>27</v>
      </c>
      <c r="P41" s="3">
        <v>33</v>
      </c>
      <c r="Q41" s="3">
        <v>32</v>
      </c>
      <c r="R41" s="3">
        <v>15</v>
      </c>
      <c r="S41" s="3">
        <v>21</v>
      </c>
      <c r="T41" s="3">
        <v>16</v>
      </c>
      <c r="U41" s="3">
        <v>11</v>
      </c>
      <c r="V41" s="3">
        <v>19</v>
      </c>
      <c r="W41" s="3">
        <v>18</v>
      </c>
      <c r="X41" s="3">
        <v>9</v>
      </c>
      <c r="Y41" s="3">
        <v>16</v>
      </c>
      <c r="Z41" s="3">
        <v>11</v>
      </c>
      <c r="AA41" s="3">
        <v>10</v>
      </c>
      <c r="AB41" s="3">
        <v>10</v>
      </c>
      <c r="AC41" s="3">
        <v>9</v>
      </c>
      <c r="AD41" s="3">
        <v>11</v>
      </c>
      <c r="AE41" s="3">
        <v>5</v>
      </c>
      <c r="AF41" s="3">
        <v>10</v>
      </c>
      <c r="AG41" s="3">
        <v>5</v>
      </c>
      <c r="AH41" s="3">
        <v>5</v>
      </c>
      <c r="AI41" s="3">
        <v>7</v>
      </c>
      <c r="AJ41" s="3">
        <v>5</v>
      </c>
      <c r="AK41" s="3">
        <v>4</v>
      </c>
      <c r="AL41" s="3">
        <v>3</v>
      </c>
      <c r="AM41" s="3">
        <v>9</v>
      </c>
      <c r="AN41" s="3">
        <v>4</v>
      </c>
      <c r="AO41" s="3">
        <v>5</v>
      </c>
      <c r="AP41" s="3">
        <v>7</v>
      </c>
      <c r="AQ41" s="3">
        <v>6</v>
      </c>
      <c r="AR41" s="3">
        <v>4</v>
      </c>
      <c r="AS41" s="3">
        <v>5</v>
      </c>
      <c r="AT41" s="3">
        <v>3</v>
      </c>
      <c r="AU41" s="3">
        <v>2</v>
      </c>
      <c r="AV41" s="3">
        <v>6</v>
      </c>
      <c r="AW41" s="3">
        <v>3</v>
      </c>
      <c r="AX41" s="3">
        <v>4</v>
      </c>
      <c r="AY41" s="3">
        <v>4</v>
      </c>
      <c r="AZ41" s="3">
        <v>2</v>
      </c>
      <c r="BA41" s="3">
        <v>4</v>
      </c>
      <c r="BB41" s="3">
        <v>6</v>
      </c>
      <c r="BC41" s="3">
        <v>6</v>
      </c>
      <c r="BD41" s="3">
        <v>4</v>
      </c>
      <c r="BE41" s="3">
        <v>4</v>
      </c>
      <c r="BF41" s="3">
        <v>3</v>
      </c>
      <c r="BG41" s="3">
        <v>2</v>
      </c>
      <c r="BH41" s="3">
        <v>4</v>
      </c>
      <c r="BI41" s="3">
        <v>2</v>
      </c>
      <c r="BJ41" s="3">
        <v>1</v>
      </c>
      <c r="BK41" s="3">
        <v>3</v>
      </c>
      <c r="BL41" s="3">
        <v>2</v>
      </c>
      <c r="BM41" s="3">
        <v>1</v>
      </c>
      <c r="BN41" s="3">
        <v>5</v>
      </c>
      <c r="BO41" s="3">
        <v>1</v>
      </c>
      <c r="BP41" s="3">
        <v>3</v>
      </c>
      <c r="BQ41" s="3">
        <v>4</v>
      </c>
      <c r="BR41" s="3">
        <v>1</v>
      </c>
      <c r="BS41" s="3">
        <v>1</v>
      </c>
      <c r="BT41" s="3">
        <v>1</v>
      </c>
      <c r="BU41" s="3">
        <v>2</v>
      </c>
      <c r="BV41" s="3">
        <v>3</v>
      </c>
      <c r="BW41" s="3">
        <v>1</v>
      </c>
      <c r="BX41" s="3">
        <v>0</v>
      </c>
      <c r="BY41" s="3">
        <v>2</v>
      </c>
      <c r="BZ41" s="3">
        <v>1</v>
      </c>
      <c r="CA41" s="3">
        <v>0</v>
      </c>
      <c r="CB41" s="3">
        <v>0</v>
      </c>
      <c r="CC41" s="3">
        <v>1</v>
      </c>
      <c r="CD41" s="3">
        <v>0</v>
      </c>
      <c r="CE41" s="3" t="s">
        <v>201</v>
      </c>
      <c r="CF41" s="3" t="s">
        <v>201</v>
      </c>
      <c r="CG41" s="3" t="s">
        <v>201</v>
      </c>
      <c r="CH41" s="3" t="s">
        <v>201</v>
      </c>
      <c r="CI41" s="3" t="s">
        <v>201</v>
      </c>
      <c r="CJ41" s="3" t="s">
        <v>201</v>
      </c>
      <c r="CK41" s="3" t="s">
        <v>201</v>
      </c>
      <c r="CL41" s="3" t="s">
        <v>201</v>
      </c>
      <c r="CM41" s="3" t="s">
        <v>201</v>
      </c>
      <c r="CN41" s="3" t="s">
        <v>201</v>
      </c>
      <c r="CO41" s="3" t="s">
        <v>201</v>
      </c>
      <c r="CP41" s="3" t="s">
        <v>201</v>
      </c>
      <c r="CQ41" s="3" t="s">
        <v>201</v>
      </c>
      <c r="CR41" s="3" t="s">
        <v>201</v>
      </c>
      <c r="CS41" s="3" t="s">
        <v>201</v>
      </c>
      <c r="CT41" s="3" t="s">
        <v>201</v>
      </c>
      <c r="CU41" s="3" t="s">
        <v>201</v>
      </c>
      <c r="CV41" s="3" t="s">
        <v>201</v>
      </c>
      <c r="CW41" s="3" t="s">
        <v>201</v>
      </c>
      <c r="CX41" s="3" t="s">
        <v>201</v>
      </c>
      <c r="CY41" s="3" t="s">
        <v>201</v>
      </c>
      <c r="CZ41" s="3" t="s">
        <v>201</v>
      </c>
      <c r="DA41" s="3" t="s">
        <v>201</v>
      </c>
      <c r="DB41" s="3" t="s">
        <v>201</v>
      </c>
      <c r="DC41" s="3" t="s">
        <v>201</v>
      </c>
      <c r="DD41" s="3" t="s">
        <v>201</v>
      </c>
      <c r="DE41" s="3" t="s">
        <v>201</v>
      </c>
      <c r="DF41" s="3" t="s">
        <v>201</v>
      </c>
      <c r="DG41" s="3" t="s">
        <v>201</v>
      </c>
      <c r="DH41" s="3" t="s">
        <v>201</v>
      </c>
      <c r="DI41" s="3" t="s">
        <v>201</v>
      </c>
      <c r="DJ41" s="3" t="s">
        <v>201</v>
      </c>
      <c r="DK41" s="3" t="s">
        <v>201</v>
      </c>
      <c r="DL41" s="3" t="s">
        <v>201</v>
      </c>
      <c r="DM41" s="3" t="s">
        <v>201</v>
      </c>
      <c r="DN41" s="3" t="s">
        <v>201</v>
      </c>
      <c r="DO41" s="3" t="s">
        <v>201</v>
      </c>
      <c r="DP41" s="3" t="s">
        <v>201</v>
      </c>
      <c r="DQ41" s="3" t="s">
        <v>201</v>
      </c>
      <c r="DR41">
        <f t="shared" si="0"/>
        <v>2018</v>
      </c>
    </row>
    <row r="42" spans="1:122" x14ac:dyDescent="0.35">
      <c r="A42" s="1">
        <f t="shared" si="1"/>
        <v>43221</v>
      </c>
      <c r="B42" s="2">
        <v>110</v>
      </c>
      <c r="C42" s="2">
        <v>190</v>
      </c>
      <c r="D42" s="2">
        <v>157</v>
      </c>
      <c r="E42" s="2">
        <v>96</v>
      </c>
      <c r="F42" s="2">
        <v>59</v>
      </c>
      <c r="G42" s="2">
        <v>58</v>
      </c>
      <c r="H42" s="2">
        <v>50</v>
      </c>
      <c r="I42" s="2">
        <v>43</v>
      </c>
      <c r="J42" s="2">
        <v>39</v>
      </c>
      <c r="K42" s="2">
        <v>31</v>
      </c>
      <c r="L42" s="2">
        <v>31</v>
      </c>
      <c r="M42" s="2">
        <v>30</v>
      </c>
      <c r="N42" s="3">
        <v>24</v>
      </c>
      <c r="O42" s="3">
        <v>23</v>
      </c>
      <c r="P42" s="3">
        <v>27</v>
      </c>
      <c r="Q42" s="3">
        <v>17</v>
      </c>
      <c r="R42" s="3">
        <v>15</v>
      </c>
      <c r="S42" s="3">
        <v>20</v>
      </c>
      <c r="T42" s="3">
        <v>12</v>
      </c>
      <c r="U42" s="3">
        <v>20</v>
      </c>
      <c r="V42" s="3">
        <v>12</v>
      </c>
      <c r="W42" s="3">
        <v>7</v>
      </c>
      <c r="X42" s="3">
        <v>9</v>
      </c>
      <c r="Y42" s="3">
        <v>8</v>
      </c>
      <c r="Z42" s="3">
        <v>8</v>
      </c>
      <c r="AA42" s="3">
        <v>11</v>
      </c>
      <c r="AB42" s="3">
        <v>9</v>
      </c>
      <c r="AC42" s="3">
        <v>7</v>
      </c>
      <c r="AD42" s="3">
        <v>4</v>
      </c>
      <c r="AE42" s="3">
        <v>6</v>
      </c>
      <c r="AF42" s="3">
        <v>9</v>
      </c>
      <c r="AG42" s="3">
        <v>3</v>
      </c>
      <c r="AH42" s="3">
        <v>4</v>
      </c>
      <c r="AI42" s="3">
        <v>6</v>
      </c>
      <c r="AJ42" s="3">
        <v>8</v>
      </c>
      <c r="AK42" s="3">
        <v>6</v>
      </c>
      <c r="AL42" s="3">
        <v>4</v>
      </c>
      <c r="AM42" s="3">
        <v>5</v>
      </c>
      <c r="AN42" s="3">
        <v>4</v>
      </c>
      <c r="AO42" s="3">
        <v>2</v>
      </c>
      <c r="AP42" s="3">
        <v>2</v>
      </c>
      <c r="AQ42" s="3">
        <v>2</v>
      </c>
      <c r="AR42" s="3">
        <v>5</v>
      </c>
      <c r="AS42" s="3">
        <v>3</v>
      </c>
      <c r="AT42" s="3">
        <v>2</v>
      </c>
      <c r="AU42" s="3">
        <v>4</v>
      </c>
      <c r="AV42" s="3">
        <v>9</v>
      </c>
      <c r="AW42" s="3">
        <v>7</v>
      </c>
      <c r="AX42" s="3">
        <v>2</v>
      </c>
      <c r="AY42" s="3">
        <v>5</v>
      </c>
      <c r="AZ42" s="3">
        <v>5</v>
      </c>
      <c r="BA42" s="3">
        <v>4</v>
      </c>
      <c r="BB42" s="3">
        <v>2</v>
      </c>
      <c r="BC42" s="3">
        <v>5</v>
      </c>
      <c r="BD42" s="3">
        <v>5</v>
      </c>
      <c r="BE42" s="3">
        <v>2</v>
      </c>
      <c r="BF42" s="3">
        <v>2</v>
      </c>
      <c r="BG42" s="3">
        <v>1</v>
      </c>
      <c r="BH42" s="3">
        <v>1</v>
      </c>
      <c r="BI42" s="3">
        <v>4</v>
      </c>
      <c r="BJ42" s="3">
        <v>2</v>
      </c>
      <c r="BK42" s="3">
        <v>2</v>
      </c>
      <c r="BL42" s="3">
        <v>2</v>
      </c>
      <c r="BM42" s="3">
        <v>2</v>
      </c>
      <c r="BN42" s="3">
        <v>1</v>
      </c>
      <c r="BO42" s="3">
        <v>0</v>
      </c>
      <c r="BP42" s="3">
        <v>2</v>
      </c>
      <c r="BQ42" s="3">
        <v>2</v>
      </c>
      <c r="BR42" s="3">
        <v>2</v>
      </c>
      <c r="BS42" s="3">
        <v>4</v>
      </c>
      <c r="BT42" s="3">
        <v>1</v>
      </c>
      <c r="BU42" s="3">
        <v>7</v>
      </c>
      <c r="BV42" s="3">
        <v>0</v>
      </c>
      <c r="BW42" s="3">
        <v>1</v>
      </c>
      <c r="BX42" s="3">
        <v>1</v>
      </c>
      <c r="BY42" s="3">
        <v>0</v>
      </c>
      <c r="BZ42" s="3">
        <v>2</v>
      </c>
      <c r="CA42" s="3">
        <v>3</v>
      </c>
      <c r="CB42" s="3">
        <v>1</v>
      </c>
      <c r="CC42" s="3">
        <v>0</v>
      </c>
      <c r="CD42" s="3" t="s">
        <v>201</v>
      </c>
      <c r="CE42" s="3" t="s">
        <v>201</v>
      </c>
      <c r="CF42" s="3" t="s">
        <v>201</v>
      </c>
      <c r="CG42" s="3" t="s">
        <v>201</v>
      </c>
      <c r="CH42" s="3" t="s">
        <v>201</v>
      </c>
      <c r="CI42" s="3" t="s">
        <v>201</v>
      </c>
      <c r="CJ42" s="3" t="s">
        <v>201</v>
      </c>
      <c r="CK42" s="3" t="s">
        <v>201</v>
      </c>
      <c r="CL42" s="3" t="s">
        <v>201</v>
      </c>
      <c r="CM42" s="3" t="s">
        <v>201</v>
      </c>
      <c r="CN42" s="3" t="s">
        <v>201</v>
      </c>
      <c r="CO42" s="3" t="s">
        <v>201</v>
      </c>
      <c r="CP42" s="3" t="s">
        <v>201</v>
      </c>
      <c r="CQ42" s="3" t="s">
        <v>201</v>
      </c>
      <c r="CR42" s="3" t="s">
        <v>201</v>
      </c>
      <c r="CS42" s="3" t="s">
        <v>201</v>
      </c>
      <c r="CT42" s="3" t="s">
        <v>201</v>
      </c>
      <c r="CU42" s="3" t="s">
        <v>201</v>
      </c>
      <c r="CV42" s="3" t="s">
        <v>201</v>
      </c>
      <c r="CW42" s="3" t="s">
        <v>201</v>
      </c>
      <c r="CX42" s="3" t="s">
        <v>201</v>
      </c>
      <c r="CY42" s="3" t="s">
        <v>201</v>
      </c>
      <c r="CZ42" s="3" t="s">
        <v>201</v>
      </c>
      <c r="DA42" s="3" t="s">
        <v>201</v>
      </c>
      <c r="DB42" s="3" t="s">
        <v>201</v>
      </c>
      <c r="DC42" s="3" t="s">
        <v>201</v>
      </c>
      <c r="DD42" s="3" t="s">
        <v>201</v>
      </c>
      <c r="DE42" s="3" t="s">
        <v>201</v>
      </c>
      <c r="DF42" s="3" t="s">
        <v>201</v>
      </c>
      <c r="DG42" s="3" t="s">
        <v>201</v>
      </c>
      <c r="DH42" s="3" t="s">
        <v>201</v>
      </c>
      <c r="DI42" s="3" t="s">
        <v>201</v>
      </c>
      <c r="DJ42" s="3" t="s">
        <v>201</v>
      </c>
      <c r="DK42" s="3" t="s">
        <v>201</v>
      </c>
      <c r="DL42" s="3" t="s">
        <v>201</v>
      </c>
      <c r="DM42" s="3" t="s">
        <v>201</v>
      </c>
      <c r="DN42" s="3" t="s">
        <v>201</v>
      </c>
      <c r="DO42" s="3" t="s">
        <v>201</v>
      </c>
      <c r="DP42" s="3" t="s">
        <v>201</v>
      </c>
      <c r="DQ42" s="3" t="s">
        <v>201</v>
      </c>
      <c r="DR42">
        <f t="shared" si="0"/>
        <v>2018</v>
      </c>
    </row>
    <row r="43" spans="1:122" x14ac:dyDescent="0.35">
      <c r="A43" s="1">
        <f t="shared" si="1"/>
        <v>43252</v>
      </c>
      <c r="B43" s="2">
        <v>86</v>
      </c>
      <c r="C43" s="2">
        <v>221</v>
      </c>
      <c r="D43" s="2">
        <v>193</v>
      </c>
      <c r="E43" s="2">
        <v>93</v>
      </c>
      <c r="F43" s="2">
        <v>57</v>
      </c>
      <c r="G43" s="2">
        <v>62</v>
      </c>
      <c r="H43" s="2">
        <v>45</v>
      </c>
      <c r="I43" s="2">
        <v>45</v>
      </c>
      <c r="J43" s="2">
        <v>41</v>
      </c>
      <c r="K43" s="2">
        <v>29</v>
      </c>
      <c r="L43" s="2">
        <v>34</v>
      </c>
      <c r="M43" s="2">
        <v>31</v>
      </c>
      <c r="N43" s="3">
        <v>38</v>
      </c>
      <c r="O43" s="3">
        <v>27</v>
      </c>
      <c r="P43" s="3">
        <v>16</v>
      </c>
      <c r="Q43" s="3">
        <v>13</v>
      </c>
      <c r="R43" s="3">
        <v>11</v>
      </c>
      <c r="S43" s="3">
        <v>13</v>
      </c>
      <c r="T43" s="3">
        <v>8</v>
      </c>
      <c r="U43" s="3">
        <v>15</v>
      </c>
      <c r="V43" s="3">
        <v>20</v>
      </c>
      <c r="W43" s="3">
        <v>12</v>
      </c>
      <c r="X43" s="3">
        <v>11</v>
      </c>
      <c r="Y43" s="3">
        <v>8</v>
      </c>
      <c r="Z43" s="3">
        <v>8</v>
      </c>
      <c r="AA43" s="3">
        <v>8</v>
      </c>
      <c r="AB43" s="3">
        <v>8</v>
      </c>
      <c r="AC43" s="3">
        <v>5</v>
      </c>
      <c r="AD43" s="3">
        <v>5</v>
      </c>
      <c r="AE43" s="3">
        <v>11</v>
      </c>
      <c r="AF43" s="3">
        <v>1</v>
      </c>
      <c r="AG43" s="3">
        <v>6</v>
      </c>
      <c r="AH43" s="3">
        <v>7</v>
      </c>
      <c r="AI43" s="3">
        <v>7</v>
      </c>
      <c r="AJ43" s="3">
        <v>5</v>
      </c>
      <c r="AK43" s="3">
        <v>3</v>
      </c>
      <c r="AL43" s="3">
        <v>3</v>
      </c>
      <c r="AM43" s="3">
        <v>6</v>
      </c>
      <c r="AN43" s="3">
        <v>4</v>
      </c>
      <c r="AO43" s="3">
        <v>4</v>
      </c>
      <c r="AP43" s="3">
        <v>5</v>
      </c>
      <c r="AQ43" s="3">
        <v>3</v>
      </c>
      <c r="AR43" s="3">
        <v>4</v>
      </c>
      <c r="AS43" s="3">
        <v>3</v>
      </c>
      <c r="AT43" s="3">
        <v>2</v>
      </c>
      <c r="AU43" s="3">
        <v>5</v>
      </c>
      <c r="AV43" s="3">
        <v>2</v>
      </c>
      <c r="AW43" s="3">
        <v>8</v>
      </c>
      <c r="AX43" s="3">
        <v>5</v>
      </c>
      <c r="AY43" s="3">
        <v>5</v>
      </c>
      <c r="AZ43" s="3">
        <v>1</v>
      </c>
      <c r="BA43" s="3">
        <v>2</v>
      </c>
      <c r="BB43" s="3">
        <v>0</v>
      </c>
      <c r="BC43" s="3">
        <v>4</v>
      </c>
      <c r="BD43" s="3">
        <v>0</v>
      </c>
      <c r="BE43" s="3">
        <v>3</v>
      </c>
      <c r="BF43" s="3">
        <v>0</v>
      </c>
      <c r="BG43" s="3">
        <v>3</v>
      </c>
      <c r="BH43" s="3">
        <v>1</v>
      </c>
      <c r="BI43" s="3">
        <v>5</v>
      </c>
      <c r="BJ43" s="3">
        <v>0</v>
      </c>
      <c r="BK43" s="3">
        <v>2</v>
      </c>
      <c r="BL43" s="3">
        <v>2</v>
      </c>
      <c r="BM43" s="3">
        <v>4</v>
      </c>
      <c r="BN43" s="3">
        <v>2</v>
      </c>
      <c r="BO43" s="3">
        <v>1</v>
      </c>
      <c r="BP43" s="3">
        <v>2</v>
      </c>
      <c r="BQ43" s="3">
        <v>1</v>
      </c>
      <c r="BR43" s="3">
        <v>0</v>
      </c>
      <c r="BS43" s="3">
        <v>0</v>
      </c>
      <c r="BT43" s="3">
        <v>2</v>
      </c>
      <c r="BU43" s="3">
        <v>3</v>
      </c>
      <c r="BV43" s="3">
        <v>1</v>
      </c>
      <c r="BW43" s="3">
        <v>0</v>
      </c>
      <c r="BX43" s="3">
        <v>1</v>
      </c>
      <c r="BY43" s="3">
        <v>2</v>
      </c>
      <c r="BZ43" s="3">
        <v>2</v>
      </c>
      <c r="CA43" s="3">
        <v>0</v>
      </c>
      <c r="CB43" s="3">
        <v>0</v>
      </c>
      <c r="CC43" s="3" t="s">
        <v>201</v>
      </c>
      <c r="CD43" s="3" t="s">
        <v>201</v>
      </c>
      <c r="CE43" s="3" t="s">
        <v>201</v>
      </c>
      <c r="CF43" s="3" t="s">
        <v>201</v>
      </c>
      <c r="CG43" s="3" t="s">
        <v>201</v>
      </c>
      <c r="CH43" s="3" t="s">
        <v>201</v>
      </c>
      <c r="CI43" s="3" t="s">
        <v>201</v>
      </c>
      <c r="CJ43" s="3" t="s">
        <v>201</v>
      </c>
      <c r="CK43" s="3" t="s">
        <v>201</v>
      </c>
      <c r="CL43" s="3" t="s">
        <v>201</v>
      </c>
      <c r="CM43" s="3" t="s">
        <v>201</v>
      </c>
      <c r="CN43" s="3" t="s">
        <v>201</v>
      </c>
      <c r="CO43" s="3" t="s">
        <v>201</v>
      </c>
      <c r="CP43" s="3" t="s">
        <v>201</v>
      </c>
      <c r="CQ43" s="3" t="s">
        <v>201</v>
      </c>
      <c r="CR43" s="3" t="s">
        <v>201</v>
      </c>
      <c r="CS43" s="3" t="s">
        <v>201</v>
      </c>
      <c r="CT43" s="3" t="s">
        <v>201</v>
      </c>
      <c r="CU43" s="3" t="s">
        <v>201</v>
      </c>
      <c r="CV43" s="3" t="s">
        <v>201</v>
      </c>
      <c r="CW43" s="3" t="s">
        <v>201</v>
      </c>
      <c r="CX43" s="3" t="s">
        <v>201</v>
      </c>
      <c r="CY43" s="3" t="s">
        <v>201</v>
      </c>
      <c r="CZ43" s="3" t="s">
        <v>201</v>
      </c>
      <c r="DA43" s="3" t="s">
        <v>201</v>
      </c>
      <c r="DB43" s="3" t="s">
        <v>201</v>
      </c>
      <c r="DC43" s="3" t="s">
        <v>201</v>
      </c>
      <c r="DD43" s="3" t="s">
        <v>201</v>
      </c>
      <c r="DE43" s="3" t="s">
        <v>201</v>
      </c>
      <c r="DF43" s="3" t="s">
        <v>201</v>
      </c>
      <c r="DG43" s="3" t="s">
        <v>201</v>
      </c>
      <c r="DH43" s="3" t="s">
        <v>201</v>
      </c>
      <c r="DI43" s="3" t="s">
        <v>201</v>
      </c>
      <c r="DJ43" s="3" t="s">
        <v>201</v>
      </c>
      <c r="DK43" s="3" t="s">
        <v>201</v>
      </c>
      <c r="DL43" s="3" t="s">
        <v>201</v>
      </c>
      <c r="DM43" s="3" t="s">
        <v>201</v>
      </c>
      <c r="DN43" s="3" t="s">
        <v>201</v>
      </c>
      <c r="DO43" s="3" t="s">
        <v>201</v>
      </c>
      <c r="DP43" s="3" t="s">
        <v>201</v>
      </c>
      <c r="DQ43" s="3" t="s">
        <v>201</v>
      </c>
      <c r="DR43">
        <f t="shared" si="0"/>
        <v>2018</v>
      </c>
    </row>
    <row r="44" spans="1:122" x14ac:dyDescent="0.35">
      <c r="A44" s="1">
        <f t="shared" si="1"/>
        <v>43282</v>
      </c>
      <c r="B44" s="2">
        <v>108</v>
      </c>
      <c r="C44" s="2">
        <v>205</v>
      </c>
      <c r="D44" s="2">
        <v>149</v>
      </c>
      <c r="E44" s="2">
        <v>91</v>
      </c>
      <c r="F44" s="2">
        <v>55</v>
      </c>
      <c r="G44" s="2">
        <v>44</v>
      </c>
      <c r="H44" s="2">
        <v>41</v>
      </c>
      <c r="I44" s="2">
        <v>37</v>
      </c>
      <c r="J44" s="2">
        <v>38</v>
      </c>
      <c r="K44" s="2">
        <v>47</v>
      </c>
      <c r="L44" s="2">
        <v>30</v>
      </c>
      <c r="M44" s="2">
        <v>36</v>
      </c>
      <c r="N44" s="3">
        <v>39</v>
      </c>
      <c r="O44" s="3">
        <v>15</v>
      </c>
      <c r="P44" s="3">
        <v>15</v>
      </c>
      <c r="Q44" s="3">
        <v>14</v>
      </c>
      <c r="R44" s="3">
        <v>17</v>
      </c>
      <c r="S44" s="3">
        <v>17</v>
      </c>
      <c r="T44" s="3">
        <v>10</v>
      </c>
      <c r="U44" s="3">
        <v>10</v>
      </c>
      <c r="V44" s="3">
        <v>8</v>
      </c>
      <c r="W44" s="3">
        <v>9</v>
      </c>
      <c r="X44" s="3">
        <v>13</v>
      </c>
      <c r="Y44" s="3">
        <v>14</v>
      </c>
      <c r="Z44" s="3">
        <v>7</v>
      </c>
      <c r="AA44" s="3">
        <v>6</v>
      </c>
      <c r="AB44" s="3">
        <v>3</v>
      </c>
      <c r="AC44" s="3">
        <v>8</v>
      </c>
      <c r="AD44" s="3">
        <v>14</v>
      </c>
      <c r="AE44" s="3">
        <v>5</v>
      </c>
      <c r="AF44" s="3">
        <v>6</v>
      </c>
      <c r="AG44" s="3">
        <v>7</v>
      </c>
      <c r="AH44" s="3">
        <v>4</v>
      </c>
      <c r="AI44" s="3">
        <v>3</v>
      </c>
      <c r="AJ44" s="3">
        <v>6</v>
      </c>
      <c r="AK44" s="3">
        <v>6</v>
      </c>
      <c r="AL44" s="3">
        <v>6</v>
      </c>
      <c r="AM44" s="3">
        <v>5</v>
      </c>
      <c r="AN44" s="3">
        <v>3</v>
      </c>
      <c r="AO44" s="3">
        <v>7</v>
      </c>
      <c r="AP44" s="3">
        <v>2</v>
      </c>
      <c r="AQ44" s="3">
        <v>5</v>
      </c>
      <c r="AR44" s="3">
        <v>4</v>
      </c>
      <c r="AS44" s="3">
        <v>2</v>
      </c>
      <c r="AT44" s="3">
        <v>3</v>
      </c>
      <c r="AU44" s="3">
        <v>1</v>
      </c>
      <c r="AV44" s="3">
        <v>4</v>
      </c>
      <c r="AW44" s="3">
        <v>2</v>
      </c>
      <c r="AX44" s="3">
        <v>5</v>
      </c>
      <c r="AY44" s="3">
        <v>1</v>
      </c>
      <c r="AZ44" s="3">
        <v>2</v>
      </c>
      <c r="BA44" s="3">
        <v>5</v>
      </c>
      <c r="BB44" s="3">
        <v>3</v>
      </c>
      <c r="BC44" s="3">
        <v>1</v>
      </c>
      <c r="BD44" s="3">
        <v>3</v>
      </c>
      <c r="BE44" s="3">
        <v>1</v>
      </c>
      <c r="BF44" s="3">
        <v>0</v>
      </c>
      <c r="BG44" s="3">
        <v>1</v>
      </c>
      <c r="BH44" s="3">
        <v>3</v>
      </c>
      <c r="BI44" s="3">
        <v>3</v>
      </c>
      <c r="BJ44" s="3">
        <v>4</v>
      </c>
      <c r="BK44" s="3">
        <v>3</v>
      </c>
      <c r="BL44" s="3">
        <v>0</v>
      </c>
      <c r="BM44" s="3">
        <v>1</v>
      </c>
      <c r="BN44" s="3">
        <v>2</v>
      </c>
      <c r="BO44" s="3">
        <v>2</v>
      </c>
      <c r="BP44" s="3">
        <v>1</v>
      </c>
      <c r="BQ44" s="3">
        <v>0</v>
      </c>
      <c r="BR44" s="3">
        <v>3</v>
      </c>
      <c r="BS44" s="3">
        <v>1</v>
      </c>
      <c r="BT44" s="3">
        <v>2</v>
      </c>
      <c r="BU44" s="3">
        <v>3</v>
      </c>
      <c r="BV44" s="3">
        <v>1</v>
      </c>
      <c r="BW44" s="3">
        <v>1</v>
      </c>
      <c r="BX44" s="3">
        <v>3</v>
      </c>
      <c r="BY44" s="3">
        <v>1</v>
      </c>
      <c r="BZ44" s="3">
        <v>0</v>
      </c>
      <c r="CA44" s="3">
        <v>0</v>
      </c>
      <c r="CB44" s="3" t="s">
        <v>201</v>
      </c>
      <c r="CC44" s="3" t="s">
        <v>201</v>
      </c>
      <c r="CD44" s="3" t="s">
        <v>201</v>
      </c>
      <c r="CE44" s="3" t="s">
        <v>201</v>
      </c>
      <c r="CF44" s="3" t="s">
        <v>201</v>
      </c>
      <c r="CG44" s="3" t="s">
        <v>201</v>
      </c>
      <c r="CH44" s="3" t="s">
        <v>201</v>
      </c>
      <c r="CI44" s="3" t="s">
        <v>201</v>
      </c>
      <c r="CJ44" s="3" t="s">
        <v>201</v>
      </c>
      <c r="CK44" s="3" t="s">
        <v>201</v>
      </c>
      <c r="CL44" s="3" t="s">
        <v>201</v>
      </c>
      <c r="CM44" s="3" t="s">
        <v>201</v>
      </c>
      <c r="CN44" s="3" t="s">
        <v>201</v>
      </c>
      <c r="CO44" s="3" t="s">
        <v>201</v>
      </c>
      <c r="CP44" s="3" t="s">
        <v>201</v>
      </c>
      <c r="CQ44" s="3" t="s">
        <v>201</v>
      </c>
      <c r="CR44" s="3" t="s">
        <v>201</v>
      </c>
      <c r="CS44" s="3" t="s">
        <v>201</v>
      </c>
      <c r="CT44" s="3" t="s">
        <v>201</v>
      </c>
      <c r="CU44" s="3" t="s">
        <v>201</v>
      </c>
      <c r="CV44" s="3" t="s">
        <v>201</v>
      </c>
      <c r="CW44" s="3" t="s">
        <v>201</v>
      </c>
      <c r="CX44" s="3" t="s">
        <v>201</v>
      </c>
      <c r="CY44" s="3" t="s">
        <v>201</v>
      </c>
      <c r="CZ44" s="3" t="s">
        <v>201</v>
      </c>
      <c r="DA44" s="3" t="s">
        <v>201</v>
      </c>
      <c r="DB44" s="3" t="s">
        <v>201</v>
      </c>
      <c r="DC44" s="3" t="s">
        <v>201</v>
      </c>
      <c r="DD44" s="3" t="s">
        <v>201</v>
      </c>
      <c r="DE44" s="3" t="s">
        <v>201</v>
      </c>
      <c r="DF44" s="3" t="s">
        <v>201</v>
      </c>
      <c r="DG44" s="3" t="s">
        <v>201</v>
      </c>
      <c r="DH44" s="3" t="s">
        <v>201</v>
      </c>
      <c r="DI44" s="3" t="s">
        <v>201</v>
      </c>
      <c r="DJ44" s="3" t="s">
        <v>201</v>
      </c>
      <c r="DK44" s="3" t="s">
        <v>201</v>
      </c>
      <c r="DL44" s="3" t="s">
        <v>201</v>
      </c>
      <c r="DM44" s="3" t="s">
        <v>201</v>
      </c>
      <c r="DN44" s="3" t="s">
        <v>201</v>
      </c>
      <c r="DO44" s="3" t="s">
        <v>201</v>
      </c>
      <c r="DP44" s="3" t="s">
        <v>201</v>
      </c>
      <c r="DQ44" s="3" t="s">
        <v>201</v>
      </c>
      <c r="DR44">
        <f t="shared" si="0"/>
        <v>2018</v>
      </c>
    </row>
    <row r="45" spans="1:122" x14ac:dyDescent="0.35">
      <c r="A45" s="1">
        <f t="shared" si="1"/>
        <v>43313</v>
      </c>
      <c r="B45" s="2">
        <v>67</v>
      </c>
      <c r="C45" s="2">
        <v>179</v>
      </c>
      <c r="D45" s="2">
        <v>113</v>
      </c>
      <c r="E45" s="2">
        <v>84</v>
      </c>
      <c r="F45" s="2">
        <v>52</v>
      </c>
      <c r="G45" s="2">
        <v>51</v>
      </c>
      <c r="H45" s="2">
        <v>36</v>
      </c>
      <c r="I45" s="2">
        <v>34</v>
      </c>
      <c r="J45" s="2">
        <v>29</v>
      </c>
      <c r="K45" s="2">
        <v>27</v>
      </c>
      <c r="L45" s="2">
        <v>30</v>
      </c>
      <c r="M45" s="2">
        <v>32</v>
      </c>
      <c r="N45" s="3">
        <v>11</v>
      </c>
      <c r="O45" s="3">
        <v>24</v>
      </c>
      <c r="P45" s="3">
        <v>16</v>
      </c>
      <c r="Q45" s="3">
        <v>16</v>
      </c>
      <c r="R45" s="3">
        <v>12</v>
      </c>
      <c r="S45" s="3">
        <v>9</v>
      </c>
      <c r="T45" s="3">
        <v>12</v>
      </c>
      <c r="U45" s="3">
        <v>9</v>
      </c>
      <c r="V45" s="3">
        <v>8</v>
      </c>
      <c r="W45" s="3">
        <v>11</v>
      </c>
      <c r="X45" s="3">
        <v>5</v>
      </c>
      <c r="Y45" s="3">
        <v>13</v>
      </c>
      <c r="Z45" s="3">
        <v>8</v>
      </c>
      <c r="AA45" s="3">
        <v>6</v>
      </c>
      <c r="AB45" s="3">
        <v>2</v>
      </c>
      <c r="AC45" s="3">
        <v>11</v>
      </c>
      <c r="AD45" s="3">
        <v>2</v>
      </c>
      <c r="AE45" s="3">
        <v>9</v>
      </c>
      <c r="AF45" s="3">
        <v>5</v>
      </c>
      <c r="AG45" s="3">
        <v>4</v>
      </c>
      <c r="AH45" s="3">
        <v>4</v>
      </c>
      <c r="AI45" s="3">
        <v>5</v>
      </c>
      <c r="AJ45" s="3">
        <v>7</v>
      </c>
      <c r="AK45" s="3">
        <v>6</v>
      </c>
      <c r="AL45" s="3">
        <v>4</v>
      </c>
      <c r="AM45" s="3">
        <v>2</v>
      </c>
      <c r="AN45" s="3">
        <v>5</v>
      </c>
      <c r="AO45" s="3">
        <v>2</v>
      </c>
      <c r="AP45" s="3">
        <v>1</v>
      </c>
      <c r="AQ45" s="3">
        <v>1</v>
      </c>
      <c r="AR45" s="3">
        <v>1</v>
      </c>
      <c r="AS45" s="3">
        <v>1</v>
      </c>
      <c r="AT45" s="3">
        <v>3</v>
      </c>
      <c r="AU45" s="3">
        <v>5</v>
      </c>
      <c r="AV45" s="3">
        <v>6</v>
      </c>
      <c r="AW45" s="3">
        <v>4</v>
      </c>
      <c r="AX45" s="3">
        <v>3</v>
      </c>
      <c r="AY45" s="3">
        <v>2</v>
      </c>
      <c r="AZ45" s="3">
        <v>1</v>
      </c>
      <c r="BA45" s="3">
        <v>1</v>
      </c>
      <c r="BB45" s="3">
        <v>0</v>
      </c>
      <c r="BC45" s="3">
        <v>1</v>
      </c>
      <c r="BD45" s="3">
        <v>0</v>
      </c>
      <c r="BE45" s="3">
        <v>2</v>
      </c>
      <c r="BF45" s="3">
        <v>3</v>
      </c>
      <c r="BG45" s="3">
        <v>0</v>
      </c>
      <c r="BH45" s="3">
        <v>0</v>
      </c>
      <c r="BI45" s="3">
        <v>1</v>
      </c>
      <c r="BJ45" s="3">
        <v>1</v>
      </c>
      <c r="BK45" s="3">
        <v>1</v>
      </c>
      <c r="BL45" s="3">
        <v>1</v>
      </c>
      <c r="BM45" s="3">
        <v>0</v>
      </c>
      <c r="BN45" s="3">
        <v>0</v>
      </c>
      <c r="BO45" s="3">
        <v>2</v>
      </c>
      <c r="BP45" s="3">
        <v>1</v>
      </c>
      <c r="BQ45" s="3">
        <v>1</v>
      </c>
      <c r="BR45" s="3">
        <v>0</v>
      </c>
      <c r="BS45" s="3">
        <v>0</v>
      </c>
      <c r="BT45" s="3">
        <v>2</v>
      </c>
      <c r="BU45" s="3">
        <v>1</v>
      </c>
      <c r="BV45" s="3">
        <v>2</v>
      </c>
      <c r="BW45" s="3">
        <v>0</v>
      </c>
      <c r="BX45" s="3">
        <v>0</v>
      </c>
      <c r="BY45" s="3">
        <v>0</v>
      </c>
      <c r="BZ45" s="3">
        <v>1</v>
      </c>
      <c r="CA45" s="3" t="s">
        <v>201</v>
      </c>
      <c r="CB45" s="3" t="s">
        <v>201</v>
      </c>
      <c r="CC45" s="3" t="s">
        <v>201</v>
      </c>
      <c r="CD45" s="3" t="s">
        <v>201</v>
      </c>
      <c r="CE45" s="3" t="s">
        <v>201</v>
      </c>
      <c r="CF45" s="3" t="s">
        <v>201</v>
      </c>
      <c r="CG45" s="3" t="s">
        <v>201</v>
      </c>
      <c r="CH45" s="3" t="s">
        <v>201</v>
      </c>
      <c r="CI45" s="3" t="s">
        <v>201</v>
      </c>
      <c r="CJ45" s="3" t="s">
        <v>201</v>
      </c>
      <c r="CK45" s="3" t="s">
        <v>201</v>
      </c>
      <c r="CL45" s="3" t="s">
        <v>201</v>
      </c>
      <c r="CM45" s="3" t="s">
        <v>201</v>
      </c>
      <c r="CN45" s="3" t="s">
        <v>201</v>
      </c>
      <c r="CO45" s="3" t="s">
        <v>201</v>
      </c>
      <c r="CP45" s="3" t="s">
        <v>201</v>
      </c>
      <c r="CQ45" s="3" t="s">
        <v>201</v>
      </c>
      <c r="CR45" s="3" t="s">
        <v>201</v>
      </c>
      <c r="CS45" s="3" t="s">
        <v>201</v>
      </c>
      <c r="CT45" s="3" t="s">
        <v>201</v>
      </c>
      <c r="CU45" s="3" t="s">
        <v>201</v>
      </c>
      <c r="CV45" s="3" t="s">
        <v>201</v>
      </c>
      <c r="CW45" s="3" t="s">
        <v>201</v>
      </c>
      <c r="CX45" s="3" t="s">
        <v>201</v>
      </c>
      <c r="CY45" s="3" t="s">
        <v>201</v>
      </c>
      <c r="CZ45" s="3" t="s">
        <v>201</v>
      </c>
      <c r="DA45" s="3" t="s">
        <v>201</v>
      </c>
      <c r="DB45" s="3" t="s">
        <v>201</v>
      </c>
      <c r="DC45" s="3" t="s">
        <v>201</v>
      </c>
      <c r="DD45" s="3" t="s">
        <v>201</v>
      </c>
      <c r="DE45" s="3" t="s">
        <v>201</v>
      </c>
      <c r="DF45" s="3" t="s">
        <v>201</v>
      </c>
      <c r="DG45" s="3" t="s">
        <v>201</v>
      </c>
      <c r="DH45" s="3" t="s">
        <v>201</v>
      </c>
      <c r="DI45" s="3" t="s">
        <v>201</v>
      </c>
      <c r="DJ45" s="3" t="s">
        <v>201</v>
      </c>
      <c r="DK45" s="3" t="s">
        <v>201</v>
      </c>
      <c r="DL45" s="3" t="s">
        <v>201</v>
      </c>
      <c r="DM45" s="3" t="s">
        <v>201</v>
      </c>
      <c r="DN45" s="3" t="s">
        <v>201</v>
      </c>
      <c r="DO45" s="3" t="s">
        <v>201</v>
      </c>
      <c r="DP45" s="3" t="s">
        <v>201</v>
      </c>
      <c r="DQ45" s="3" t="s">
        <v>201</v>
      </c>
      <c r="DR45">
        <f t="shared" si="0"/>
        <v>2018</v>
      </c>
    </row>
    <row r="46" spans="1:122" x14ac:dyDescent="0.35">
      <c r="A46" s="1">
        <f t="shared" si="1"/>
        <v>43344</v>
      </c>
      <c r="B46" s="2">
        <v>101</v>
      </c>
      <c r="C46" s="2">
        <v>148</v>
      </c>
      <c r="D46" s="2">
        <v>90</v>
      </c>
      <c r="E46" s="2">
        <v>52</v>
      </c>
      <c r="F46" s="2">
        <v>45</v>
      </c>
      <c r="G46" s="2">
        <v>53</v>
      </c>
      <c r="H46" s="2">
        <v>33</v>
      </c>
      <c r="I46" s="2">
        <v>36</v>
      </c>
      <c r="J46" s="2">
        <v>30</v>
      </c>
      <c r="K46" s="2">
        <v>34</v>
      </c>
      <c r="L46" s="2">
        <v>31</v>
      </c>
      <c r="M46" s="2">
        <v>15</v>
      </c>
      <c r="N46" s="3">
        <v>12</v>
      </c>
      <c r="O46" s="3">
        <v>18</v>
      </c>
      <c r="P46" s="3">
        <v>16</v>
      </c>
      <c r="Q46" s="3">
        <v>12</v>
      </c>
      <c r="R46" s="3">
        <v>6</v>
      </c>
      <c r="S46" s="3">
        <v>17</v>
      </c>
      <c r="T46" s="3">
        <v>13</v>
      </c>
      <c r="U46" s="3">
        <v>10</v>
      </c>
      <c r="V46" s="3">
        <v>10</v>
      </c>
      <c r="W46" s="3">
        <v>4</v>
      </c>
      <c r="X46" s="3">
        <v>12</v>
      </c>
      <c r="Y46" s="3">
        <v>6</v>
      </c>
      <c r="Z46" s="3">
        <v>6</v>
      </c>
      <c r="AA46" s="3">
        <v>4</v>
      </c>
      <c r="AB46" s="3">
        <v>3</v>
      </c>
      <c r="AC46" s="3">
        <v>5</v>
      </c>
      <c r="AD46" s="3">
        <v>7</v>
      </c>
      <c r="AE46" s="3">
        <v>7</v>
      </c>
      <c r="AF46" s="3">
        <v>3</v>
      </c>
      <c r="AG46" s="3">
        <v>4</v>
      </c>
      <c r="AH46" s="3">
        <v>4</v>
      </c>
      <c r="AI46" s="3">
        <v>5</v>
      </c>
      <c r="AJ46" s="3">
        <v>3</v>
      </c>
      <c r="AK46" s="3">
        <v>4</v>
      </c>
      <c r="AL46" s="3">
        <v>3</v>
      </c>
      <c r="AM46" s="3">
        <v>1</v>
      </c>
      <c r="AN46" s="3">
        <v>3</v>
      </c>
      <c r="AO46" s="3">
        <v>3</v>
      </c>
      <c r="AP46" s="3">
        <v>4</v>
      </c>
      <c r="AQ46" s="3">
        <v>2</v>
      </c>
      <c r="AR46" s="3">
        <v>2</v>
      </c>
      <c r="AS46" s="3">
        <v>2</v>
      </c>
      <c r="AT46" s="3">
        <v>1</v>
      </c>
      <c r="AU46" s="3">
        <v>1</v>
      </c>
      <c r="AV46" s="3">
        <v>2</v>
      </c>
      <c r="AW46" s="3">
        <v>2</v>
      </c>
      <c r="AX46" s="3">
        <v>2</v>
      </c>
      <c r="AY46" s="3">
        <v>3</v>
      </c>
      <c r="AZ46" s="3">
        <v>2</v>
      </c>
      <c r="BA46" s="3">
        <v>3</v>
      </c>
      <c r="BB46" s="3">
        <v>0</v>
      </c>
      <c r="BC46" s="3">
        <v>2</v>
      </c>
      <c r="BD46" s="3">
        <v>3</v>
      </c>
      <c r="BE46" s="3">
        <v>1</v>
      </c>
      <c r="BF46" s="3">
        <v>0</v>
      </c>
      <c r="BG46" s="3">
        <v>1</v>
      </c>
      <c r="BH46" s="3">
        <v>0</v>
      </c>
      <c r="BI46" s="3">
        <v>2</v>
      </c>
      <c r="BJ46" s="3">
        <v>3</v>
      </c>
      <c r="BK46" s="3">
        <v>0</v>
      </c>
      <c r="BL46" s="3">
        <v>1</v>
      </c>
      <c r="BM46" s="3">
        <v>0</v>
      </c>
      <c r="BN46" s="3">
        <v>1</v>
      </c>
      <c r="BO46" s="3">
        <v>1</v>
      </c>
      <c r="BP46" s="3">
        <v>3</v>
      </c>
      <c r="BQ46" s="3">
        <v>1</v>
      </c>
      <c r="BR46" s="3">
        <v>0</v>
      </c>
      <c r="BS46" s="3">
        <v>1</v>
      </c>
      <c r="BT46" s="3">
        <v>3</v>
      </c>
      <c r="BU46" s="3">
        <v>1</v>
      </c>
      <c r="BV46" s="3">
        <v>2</v>
      </c>
      <c r="BW46" s="3">
        <v>2</v>
      </c>
      <c r="BX46" s="3">
        <v>0</v>
      </c>
      <c r="BY46" s="3">
        <v>0</v>
      </c>
      <c r="BZ46" s="3" t="s">
        <v>201</v>
      </c>
      <c r="CA46" s="3" t="s">
        <v>201</v>
      </c>
      <c r="CB46" s="3" t="s">
        <v>201</v>
      </c>
      <c r="CC46" s="3" t="s">
        <v>201</v>
      </c>
      <c r="CD46" s="3" t="s">
        <v>201</v>
      </c>
      <c r="CE46" s="3" t="s">
        <v>201</v>
      </c>
      <c r="CF46" s="3" t="s">
        <v>201</v>
      </c>
      <c r="CG46" s="3" t="s">
        <v>201</v>
      </c>
      <c r="CH46" s="3" t="s">
        <v>201</v>
      </c>
      <c r="CI46" s="3" t="s">
        <v>201</v>
      </c>
      <c r="CJ46" s="3" t="s">
        <v>201</v>
      </c>
      <c r="CK46" s="3" t="s">
        <v>201</v>
      </c>
      <c r="CL46" s="3" t="s">
        <v>201</v>
      </c>
      <c r="CM46" s="3" t="s">
        <v>201</v>
      </c>
      <c r="CN46" s="3" t="s">
        <v>201</v>
      </c>
      <c r="CO46" s="3" t="s">
        <v>201</v>
      </c>
      <c r="CP46" s="3" t="s">
        <v>201</v>
      </c>
      <c r="CQ46" s="3" t="s">
        <v>201</v>
      </c>
      <c r="CR46" s="3" t="s">
        <v>201</v>
      </c>
      <c r="CS46" s="3" t="s">
        <v>201</v>
      </c>
      <c r="CT46" s="3" t="s">
        <v>201</v>
      </c>
      <c r="CU46" s="3" t="s">
        <v>201</v>
      </c>
      <c r="CV46" s="3" t="s">
        <v>201</v>
      </c>
      <c r="CW46" s="3" t="s">
        <v>201</v>
      </c>
      <c r="CX46" s="3" t="s">
        <v>201</v>
      </c>
      <c r="CY46" s="3" t="s">
        <v>201</v>
      </c>
      <c r="CZ46" s="3" t="s">
        <v>201</v>
      </c>
      <c r="DA46" s="3" t="s">
        <v>201</v>
      </c>
      <c r="DB46" s="3" t="s">
        <v>201</v>
      </c>
      <c r="DC46" s="3" t="s">
        <v>201</v>
      </c>
      <c r="DD46" s="3" t="s">
        <v>201</v>
      </c>
      <c r="DE46" s="3" t="s">
        <v>201</v>
      </c>
      <c r="DF46" s="3" t="s">
        <v>201</v>
      </c>
      <c r="DG46" s="3" t="s">
        <v>201</v>
      </c>
      <c r="DH46" s="3" t="s">
        <v>201</v>
      </c>
      <c r="DI46" s="3" t="s">
        <v>201</v>
      </c>
      <c r="DJ46" s="3" t="s">
        <v>201</v>
      </c>
      <c r="DK46" s="3" t="s">
        <v>201</v>
      </c>
      <c r="DL46" s="3" t="s">
        <v>201</v>
      </c>
      <c r="DM46" s="3" t="s">
        <v>201</v>
      </c>
      <c r="DN46" s="3" t="s">
        <v>201</v>
      </c>
      <c r="DO46" s="3" t="s">
        <v>201</v>
      </c>
      <c r="DP46" s="3" t="s">
        <v>201</v>
      </c>
      <c r="DQ46" s="3" t="s">
        <v>201</v>
      </c>
      <c r="DR46">
        <f t="shared" si="0"/>
        <v>2018</v>
      </c>
    </row>
    <row r="47" spans="1:122" x14ac:dyDescent="0.35">
      <c r="A47" s="1">
        <f t="shared" si="1"/>
        <v>43374</v>
      </c>
      <c r="B47" s="2">
        <v>140</v>
      </c>
      <c r="C47" s="2">
        <v>167</v>
      </c>
      <c r="D47" s="2">
        <v>68</v>
      </c>
      <c r="E47" s="2">
        <v>71</v>
      </c>
      <c r="F47" s="2">
        <v>60</v>
      </c>
      <c r="G47" s="2">
        <v>53</v>
      </c>
      <c r="H47" s="2">
        <v>37</v>
      </c>
      <c r="I47" s="2">
        <v>44</v>
      </c>
      <c r="J47" s="2">
        <v>38</v>
      </c>
      <c r="K47" s="2">
        <v>33</v>
      </c>
      <c r="L47" s="2">
        <v>21</v>
      </c>
      <c r="M47" s="2">
        <v>24</v>
      </c>
      <c r="N47" s="3">
        <v>25</v>
      </c>
      <c r="O47" s="3">
        <v>19</v>
      </c>
      <c r="P47" s="3">
        <v>13</v>
      </c>
      <c r="Q47" s="3">
        <v>17</v>
      </c>
      <c r="R47" s="3">
        <v>8</v>
      </c>
      <c r="S47" s="3">
        <v>13</v>
      </c>
      <c r="T47" s="3">
        <v>10</v>
      </c>
      <c r="U47" s="3">
        <v>4</v>
      </c>
      <c r="V47" s="3">
        <v>11</v>
      </c>
      <c r="W47" s="3">
        <v>8</v>
      </c>
      <c r="X47" s="3">
        <v>4</v>
      </c>
      <c r="Y47" s="3">
        <v>6</v>
      </c>
      <c r="Z47" s="3">
        <v>5</v>
      </c>
      <c r="AA47" s="3">
        <v>18</v>
      </c>
      <c r="AB47" s="3">
        <v>8</v>
      </c>
      <c r="AC47" s="3">
        <v>9</v>
      </c>
      <c r="AD47" s="3">
        <v>3</v>
      </c>
      <c r="AE47" s="3">
        <v>4</v>
      </c>
      <c r="AF47" s="3">
        <v>4</v>
      </c>
      <c r="AG47" s="3">
        <v>1</v>
      </c>
      <c r="AH47" s="3">
        <v>2</v>
      </c>
      <c r="AI47" s="3">
        <v>8</v>
      </c>
      <c r="AJ47" s="3">
        <v>4</v>
      </c>
      <c r="AK47" s="3">
        <v>4</v>
      </c>
      <c r="AL47" s="3">
        <v>9</v>
      </c>
      <c r="AM47" s="3">
        <v>4</v>
      </c>
      <c r="AN47" s="3">
        <v>4</v>
      </c>
      <c r="AO47" s="3">
        <v>4</v>
      </c>
      <c r="AP47" s="3">
        <v>7</v>
      </c>
      <c r="AQ47" s="3">
        <v>2</v>
      </c>
      <c r="AR47" s="3">
        <v>1</v>
      </c>
      <c r="AS47" s="3">
        <v>6</v>
      </c>
      <c r="AT47" s="3">
        <v>8</v>
      </c>
      <c r="AU47" s="3">
        <v>5</v>
      </c>
      <c r="AV47" s="3">
        <v>5</v>
      </c>
      <c r="AW47" s="3">
        <v>4</v>
      </c>
      <c r="AX47" s="3">
        <v>3</v>
      </c>
      <c r="AY47" s="3">
        <v>6</v>
      </c>
      <c r="AZ47" s="3">
        <v>1</v>
      </c>
      <c r="BA47" s="3">
        <v>1</v>
      </c>
      <c r="BB47" s="3">
        <v>1</v>
      </c>
      <c r="BC47" s="3">
        <v>0</v>
      </c>
      <c r="BD47" s="3">
        <v>1</v>
      </c>
      <c r="BE47" s="3">
        <v>3</v>
      </c>
      <c r="BF47" s="3">
        <v>3</v>
      </c>
      <c r="BG47" s="3">
        <v>0</v>
      </c>
      <c r="BH47" s="3">
        <v>2</v>
      </c>
      <c r="BI47" s="3">
        <v>1</v>
      </c>
      <c r="BJ47" s="3">
        <v>1</v>
      </c>
      <c r="BK47" s="3">
        <v>3</v>
      </c>
      <c r="BL47" s="3">
        <v>1</v>
      </c>
      <c r="BM47" s="3">
        <v>1</v>
      </c>
      <c r="BN47" s="3">
        <v>0</v>
      </c>
      <c r="BO47" s="3">
        <v>1</v>
      </c>
      <c r="BP47" s="3">
        <v>0</v>
      </c>
      <c r="BQ47" s="3">
        <v>0</v>
      </c>
      <c r="BR47" s="3">
        <v>0</v>
      </c>
      <c r="BS47" s="3">
        <v>0</v>
      </c>
      <c r="BT47" s="3">
        <v>2</v>
      </c>
      <c r="BU47" s="3">
        <v>3</v>
      </c>
      <c r="BV47" s="3">
        <v>0</v>
      </c>
      <c r="BW47" s="3">
        <v>0</v>
      </c>
      <c r="BX47" s="3">
        <v>0</v>
      </c>
      <c r="BY47" s="3" t="s">
        <v>201</v>
      </c>
      <c r="BZ47" s="3" t="s">
        <v>201</v>
      </c>
      <c r="CA47" s="3" t="s">
        <v>201</v>
      </c>
      <c r="CB47" s="3" t="s">
        <v>201</v>
      </c>
      <c r="CC47" s="3" t="s">
        <v>201</v>
      </c>
      <c r="CD47" s="3" t="s">
        <v>201</v>
      </c>
      <c r="CE47" s="3" t="s">
        <v>201</v>
      </c>
      <c r="CF47" s="3" t="s">
        <v>201</v>
      </c>
      <c r="CG47" s="3" t="s">
        <v>201</v>
      </c>
      <c r="CH47" s="3" t="s">
        <v>201</v>
      </c>
      <c r="CI47" s="3" t="s">
        <v>201</v>
      </c>
      <c r="CJ47" s="3" t="s">
        <v>201</v>
      </c>
      <c r="CK47" s="3" t="s">
        <v>201</v>
      </c>
      <c r="CL47" s="3" t="s">
        <v>201</v>
      </c>
      <c r="CM47" s="3" t="s">
        <v>201</v>
      </c>
      <c r="CN47" s="3" t="s">
        <v>201</v>
      </c>
      <c r="CO47" s="3" t="s">
        <v>201</v>
      </c>
      <c r="CP47" s="3" t="s">
        <v>201</v>
      </c>
      <c r="CQ47" s="3" t="s">
        <v>201</v>
      </c>
      <c r="CR47" s="3" t="s">
        <v>201</v>
      </c>
      <c r="CS47" s="3" t="s">
        <v>201</v>
      </c>
      <c r="CT47" s="3" t="s">
        <v>201</v>
      </c>
      <c r="CU47" s="3" t="s">
        <v>201</v>
      </c>
      <c r="CV47" s="3" t="s">
        <v>201</v>
      </c>
      <c r="CW47" s="3" t="s">
        <v>201</v>
      </c>
      <c r="CX47" s="3" t="s">
        <v>201</v>
      </c>
      <c r="CY47" s="3" t="s">
        <v>201</v>
      </c>
      <c r="CZ47" s="3" t="s">
        <v>201</v>
      </c>
      <c r="DA47" s="3" t="s">
        <v>201</v>
      </c>
      <c r="DB47" s="3" t="s">
        <v>201</v>
      </c>
      <c r="DC47" s="3" t="s">
        <v>201</v>
      </c>
      <c r="DD47" s="3" t="s">
        <v>201</v>
      </c>
      <c r="DE47" s="3" t="s">
        <v>201</v>
      </c>
      <c r="DF47" s="3" t="s">
        <v>201</v>
      </c>
      <c r="DG47" s="3" t="s">
        <v>201</v>
      </c>
      <c r="DH47" s="3" t="s">
        <v>201</v>
      </c>
      <c r="DI47" s="3" t="s">
        <v>201</v>
      </c>
      <c r="DJ47" s="3" t="s">
        <v>201</v>
      </c>
      <c r="DK47" s="3" t="s">
        <v>201</v>
      </c>
      <c r="DL47" s="3" t="s">
        <v>201</v>
      </c>
      <c r="DM47" s="3" t="s">
        <v>201</v>
      </c>
      <c r="DN47" s="3" t="s">
        <v>201</v>
      </c>
      <c r="DO47" s="3" t="s">
        <v>201</v>
      </c>
      <c r="DP47" s="3" t="s">
        <v>201</v>
      </c>
      <c r="DQ47" s="3" t="s">
        <v>201</v>
      </c>
      <c r="DR47">
        <f t="shared" si="0"/>
        <v>2018</v>
      </c>
    </row>
    <row r="48" spans="1:122" x14ac:dyDescent="0.35">
      <c r="A48" s="1">
        <f t="shared" si="1"/>
        <v>43405</v>
      </c>
      <c r="B48" s="2">
        <v>69</v>
      </c>
      <c r="C48" s="2">
        <v>84</v>
      </c>
      <c r="D48" s="2">
        <v>54</v>
      </c>
      <c r="E48" s="2">
        <v>45</v>
      </c>
      <c r="F48" s="2">
        <v>38</v>
      </c>
      <c r="G48" s="2">
        <v>24</v>
      </c>
      <c r="H48" s="2">
        <v>23</v>
      </c>
      <c r="I48" s="2">
        <v>17</v>
      </c>
      <c r="J48" s="2">
        <v>21</v>
      </c>
      <c r="K48" s="2">
        <v>8</v>
      </c>
      <c r="L48" s="2">
        <v>16</v>
      </c>
      <c r="M48" s="2">
        <v>16</v>
      </c>
      <c r="N48" s="3">
        <v>13</v>
      </c>
      <c r="O48" s="3">
        <v>15</v>
      </c>
      <c r="P48" s="3">
        <v>9</v>
      </c>
      <c r="Q48" s="3">
        <v>17</v>
      </c>
      <c r="R48" s="3">
        <v>8</v>
      </c>
      <c r="S48" s="3">
        <v>7</v>
      </c>
      <c r="T48" s="3">
        <v>5</v>
      </c>
      <c r="U48" s="3">
        <v>9</v>
      </c>
      <c r="V48" s="3">
        <v>9</v>
      </c>
      <c r="W48" s="3">
        <v>4</v>
      </c>
      <c r="X48" s="3">
        <v>5</v>
      </c>
      <c r="Y48" s="3">
        <v>1</v>
      </c>
      <c r="Z48" s="3">
        <v>10</v>
      </c>
      <c r="AA48" s="3">
        <v>2</v>
      </c>
      <c r="AB48" s="3">
        <v>2</v>
      </c>
      <c r="AC48" s="3">
        <v>6</v>
      </c>
      <c r="AD48" s="3">
        <v>5</v>
      </c>
      <c r="AE48" s="3">
        <v>4</v>
      </c>
      <c r="AF48" s="3">
        <v>8</v>
      </c>
      <c r="AG48" s="3">
        <v>2</v>
      </c>
      <c r="AH48" s="3">
        <v>2</v>
      </c>
      <c r="AI48" s="3">
        <v>4</v>
      </c>
      <c r="AJ48" s="3">
        <v>1</v>
      </c>
      <c r="AK48" s="3">
        <v>7</v>
      </c>
      <c r="AL48" s="3">
        <v>2</v>
      </c>
      <c r="AM48" s="3">
        <v>2</v>
      </c>
      <c r="AN48" s="3">
        <v>2</v>
      </c>
      <c r="AO48" s="3">
        <v>0</v>
      </c>
      <c r="AP48" s="3">
        <v>2</v>
      </c>
      <c r="AQ48" s="3">
        <v>3</v>
      </c>
      <c r="AR48" s="3">
        <v>4</v>
      </c>
      <c r="AS48" s="3">
        <v>2</v>
      </c>
      <c r="AT48" s="3">
        <v>1</v>
      </c>
      <c r="AU48" s="3">
        <v>1</v>
      </c>
      <c r="AV48" s="3">
        <v>4</v>
      </c>
      <c r="AW48" s="3">
        <v>2</v>
      </c>
      <c r="AX48" s="3">
        <v>2</v>
      </c>
      <c r="AY48" s="3">
        <v>4</v>
      </c>
      <c r="AZ48" s="3">
        <v>0</v>
      </c>
      <c r="BA48" s="3">
        <v>0</v>
      </c>
      <c r="BB48" s="3">
        <v>0</v>
      </c>
      <c r="BC48" s="3">
        <v>1</v>
      </c>
      <c r="BD48" s="3">
        <v>1</v>
      </c>
      <c r="BE48" s="3">
        <v>3</v>
      </c>
      <c r="BF48" s="3">
        <v>3</v>
      </c>
      <c r="BG48" s="3">
        <v>0</v>
      </c>
      <c r="BH48" s="3">
        <v>1</v>
      </c>
      <c r="BI48" s="3">
        <v>1</v>
      </c>
      <c r="BJ48" s="3">
        <v>2</v>
      </c>
      <c r="BK48" s="3">
        <v>0</v>
      </c>
      <c r="BL48" s="3">
        <v>2</v>
      </c>
      <c r="BM48" s="3">
        <v>1</v>
      </c>
      <c r="BN48" s="3">
        <v>0</v>
      </c>
      <c r="BO48" s="3">
        <v>1</v>
      </c>
      <c r="BP48" s="3">
        <v>0</v>
      </c>
      <c r="BQ48" s="3">
        <v>1</v>
      </c>
      <c r="BR48" s="3">
        <v>1</v>
      </c>
      <c r="BS48" s="3">
        <v>0</v>
      </c>
      <c r="BT48" s="3">
        <v>0</v>
      </c>
      <c r="BU48" s="3">
        <v>1</v>
      </c>
      <c r="BV48" s="3">
        <v>0</v>
      </c>
      <c r="BW48" s="3">
        <v>0</v>
      </c>
      <c r="BX48" s="3" t="s">
        <v>201</v>
      </c>
      <c r="BY48" s="3" t="s">
        <v>201</v>
      </c>
      <c r="BZ48" s="3" t="s">
        <v>201</v>
      </c>
      <c r="CA48" s="3" t="s">
        <v>201</v>
      </c>
      <c r="CB48" s="3" t="s">
        <v>201</v>
      </c>
      <c r="CC48" s="3" t="s">
        <v>201</v>
      </c>
      <c r="CD48" s="3" t="s">
        <v>201</v>
      </c>
      <c r="CE48" s="3" t="s">
        <v>201</v>
      </c>
      <c r="CF48" s="3" t="s">
        <v>201</v>
      </c>
      <c r="CG48" s="3" t="s">
        <v>201</v>
      </c>
      <c r="CH48" s="3" t="s">
        <v>201</v>
      </c>
      <c r="CI48" s="3" t="s">
        <v>201</v>
      </c>
      <c r="CJ48" s="3" t="s">
        <v>201</v>
      </c>
      <c r="CK48" s="3" t="s">
        <v>201</v>
      </c>
      <c r="CL48" s="3" t="s">
        <v>201</v>
      </c>
      <c r="CM48" s="3" t="s">
        <v>201</v>
      </c>
      <c r="CN48" s="3" t="s">
        <v>201</v>
      </c>
      <c r="CO48" s="3" t="s">
        <v>201</v>
      </c>
      <c r="CP48" s="3" t="s">
        <v>201</v>
      </c>
      <c r="CQ48" s="3" t="s">
        <v>201</v>
      </c>
      <c r="CR48" s="3" t="s">
        <v>201</v>
      </c>
      <c r="CS48" s="3" t="s">
        <v>201</v>
      </c>
      <c r="CT48" s="3" t="s">
        <v>201</v>
      </c>
      <c r="CU48" s="3" t="s">
        <v>201</v>
      </c>
      <c r="CV48" s="3" t="s">
        <v>201</v>
      </c>
      <c r="CW48" s="3" t="s">
        <v>201</v>
      </c>
      <c r="CX48" s="3" t="s">
        <v>201</v>
      </c>
      <c r="CY48" s="3" t="s">
        <v>201</v>
      </c>
      <c r="CZ48" s="3" t="s">
        <v>201</v>
      </c>
      <c r="DA48" s="3" t="s">
        <v>201</v>
      </c>
      <c r="DB48" s="3" t="s">
        <v>201</v>
      </c>
      <c r="DC48" s="3" t="s">
        <v>201</v>
      </c>
      <c r="DD48" s="3" t="s">
        <v>201</v>
      </c>
      <c r="DE48" s="3" t="s">
        <v>201</v>
      </c>
      <c r="DF48" s="3" t="s">
        <v>201</v>
      </c>
      <c r="DG48" s="3" t="s">
        <v>201</v>
      </c>
      <c r="DH48" s="3" t="s">
        <v>201</v>
      </c>
      <c r="DI48" s="3" t="s">
        <v>201</v>
      </c>
      <c r="DJ48" s="3" t="s">
        <v>201</v>
      </c>
      <c r="DK48" s="3" t="s">
        <v>201</v>
      </c>
      <c r="DL48" s="3" t="s">
        <v>201</v>
      </c>
      <c r="DM48" s="3" t="s">
        <v>201</v>
      </c>
      <c r="DN48" s="3" t="s">
        <v>201</v>
      </c>
      <c r="DO48" s="3" t="s">
        <v>201</v>
      </c>
      <c r="DP48" s="3" t="s">
        <v>201</v>
      </c>
      <c r="DQ48" s="3" t="s">
        <v>201</v>
      </c>
      <c r="DR48">
        <f t="shared" si="0"/>
        <v>2018</v>
      </c>
    </row>
    <row r="49" spans="1:122" x14ac:dyDescent="0.35">
      <c r="A49" s="1">
        <f t="shared" si="1"/>
        <v>43435</v>
      </c>
      <c r="B49" s="2">
        <v>72</v>
      </c>
      <c r="C49" s="2">
        <v>119</v>
      </c>
      <c r="D49" s="2">
        <v>94</v>
      </c>
      <c r="E49" s="2">
        <v>63</v>
      </c>
      <c r="F49" s="2">
        <v>59</v>
      </c>
      <c r="G49" s="2">
        <v>39</v>
      </c>
      <c r="H49" s="2">
        <v>35</v>
      </c>
      <c r="I49" s="2">
        <v>31</v>
      </c>
      <c r="J49" s="2">
        <v>14</v>
      </c>
      <c r="K49" s="2">
        <v>14</v>
      </c>
      <c r="L49" s="2">
        <v>22</v>
      </c>
      <c r="M49" s="2">
        <v>14</v>
      </c>
      <c r="N49" s="3">
        <v>20</v>
      </c>
      <c r="O49" s="3">
        <v>17</v>
      </c>
      <c r="P49" s="3">
        <v>14</v>
      </c>
      <c r="Q49" s="3">
        <v>13</v>
      </c>
      <c r="R49" s="3">
        <v>13</v>
      </c>
      <c r="S49" s="3">
        <v>9</v>
      </c>
      <c r="T49" s="3">
        <v>11</v>
      </c>
      <c r="U49" s="3">
        <v>13</v>
      </c>
      <c r="V49" s="3">
        <v>13</v>
      </c>
      <c r="W49" s="3">
        <v>5</v>
      </c>
      <c r="X49" s="3">
        <v>5</v>
      </c>
      <c r="Y49" s="3">
        <v>15</v>
      </c>
      <c r="Z49" s="3">
        <v>8</v>
      </c>
      <c r="AA49" s="3">
        <v>6</v>
      </c>
      <c r="AB49" s="3">
        <v>1</v>
      </c>
      <c r="AC49" s="3">
        <v>1</v>
      </c>
      <c r="AD49" s="3">
        <v>7</v>
      </c>
      <c r="AE49" s="3">
        <v>4</v>
      </c>
      <c r="AF49" s="3">
        <v>4</v>
      </c>
      <c r="AG49" s="3">
        <v>6</v>
      </c>
      <c r="AH49" s="3">
        <v>2</v>
      </c>
      <c r="AI49" s="3">
        <v>2</v>
      </c>
      <c r="AJ49" s="3">
        <v>3</v>
      </c>
      <c r="AK49" s="3">
        <v>4</v>
      </c>
      <c r="AL49" s="3">
        <v>6</v>
      </c>
      <c r="AM49" s="3">
        <v>4</v>
      </c>
      <c r="AN49" s="3">
        <v>5</v>
      </c>
      <c r="AO49" s="3">
        <v>1</v>
      </c>
      <c r="AP49" s="3">
        <v>2</v>
      </c>
      <c r="AQ49" s="3">
        <v>4</v>
      </c>
      <c r="AR49" s="3">
        <v>1</v>
      </c>
      <c r="AS49" s="3">
        <v>4</v>
      </c>
      <c r="AT49" s="3">
        <v>1</v>
      </c>
      <c r="AU49" s="3">
        <v>4</v>
      </c>
      <c r="AV49" s="3">
        <v>3</v>
      </c>
      <c r="AW49" s="3">
        <v>2</v>
      </c>
      <c r="AX49" s="3">
        <v>3</v>
      </c>
      <c r="AY49" s="3">
        <v>2</v>
      </c>
      <c r="AZ49" s="3">
        <v>0</v>
      </c>
      <c r="BA49" s="3">
        <v>0</v>
      </c>
      <c r="BB49" s="3">
        <v>0</v>
      </c>
      <c r="BC49" s="3">
        <v>0</v>
      </c>
      <c r="BD49" s="3">
        <v>2</v>
      </c>
      <c r="BE49" s="3">
        <v>1</v>
      </c>
      <c r="BF49" s="3">
        <v>2</v>
      </c>
      <c r="BG49" s="3">
        <v>0</v>
      </c>
      <c r="BH49" s="3">
        <v>1</v>
      </c>
      <c r="BI49" s="3">
        <v>0</v>
      </c>
      <c r="BJ49" s="3">
        <v>4</v>
      </c>
      <c r="BK49" s="3">
        <v>1</v>
      </c>
      <c r="BL49" s="3">
        <v>1</v>
      </c>
      <c r="BM49" s="3">
        <v>1</v>
      </c>
      <c r="BN49" s="3">
        <v>1</v>
      </c>
      <c r="BO49" s="3">
        <v>2</v>
      </c>
      <c r="BP49" s="3">
        <v>1</v>
      </c>
      <c r="BQ49" s="3">
        <v>0</v>
      </c>
      <c r="BR49" s="3">
        <v>0</v>
      </c>
      <c r="BS49" s="3">
        <v>1</v>
      </c>
      <c r="BT49" s="3">
        <v>1</v>
      </c>
      <c r="BU49" s="3">
        <v>0</v>
      </c>
      <c r="BV49" s="3">
        <v>0</v>
      </c>
      <c r="BW49" s="3" t="s">
        <v>201</v>
      </c>
      <c r="BX49" s="3" t="s">
        <v>201</v>
      </c>
      <c r="BY49" s="3" t="s">
        <v>201</v>
      </c>
      <c r="BZ49" s="3" t="s">
        <v>201</v>
      </c>
      <c r="CA49" s="3" t="s">
        <v>201</v>
      </c>
      <c r="CB49" s="3" t="s">
        <v>201</v>
      </c>
      <c r="CC49" s="3" t="s">
        <v>201</v>
      </c>
      <c r="CD49" s="3" t="s">
        <v>201</v>
      </c>
      <c r="CE49" s="3" t="s">
        <v>201</v>
      </c>
      <c r="CF49" s="3" t="s">
        <v>201</v>
      </c>
      <c r="CG49" s="3" t="s">
        <v>201</v>
      </c>
      <c r="CH49" s="3" t="s">
        <v>201</v>
      </c>
      <c r="CI49" s="3" t="s">
        <v>201</v>
      </c>
      <c r="CJ49" s="3" t="s">
        <v>201</v>
      </c>
      <c r="CK49" s="3" t="s">
        <v>201</v>
      </c>
      <c r="CL49" s="3" t="s">
        <v>201</v>
      </c>
      <c r="CM49" s="3" t="s">
        <v>201</v>
      </c>
      <c r="CN49" s="3" t="s">
        <v>201</v>
      </c>
      <c r="CO49" s="3" t="s">
        <v>201</v>
      </c>
      <c r="CP49" s="3" t="s">
        <v>201</v>
      </c>
      <c r="CQ49" s="3" t="s">
        <v>201</v>
      </c>
      <c r="CR49" s="3" t="s">
        <v>201</v>
      </c>
      <c r="CS49" s="3" t="s">
        <v>201</v>
      </c>
      <c r="CT49" s="3" t="s">
        <v>201</v>
      </c>
      <c r="CU49" s="3" t="s">
        <v>201</v>
      </c>
      <c r="CV49" s="3" t="s">
        <v>201</v>
      </c>
      <c r="CW49" s="3" t="s">
        <v>201</v>
      </c>
      <c r="CX49" s="3" t="s">
        <v>201</v>
      </c>
      <c r="CY49" s="3" t="s">
        <v>201</v>
      </c>
      <c r="CZ49" s="3" t="s">
        <v>201</v>
      </c>
      <c r="DA49" s="3" t="s">
        <v>201</v>
      </c>
      <c r="DB49" s="3" t="s">
        <v>201</v>
      </c>
      <c r="DC49" s="3" t="s">
        <v>201</v>
      </c>
      <c r="DD49" s="3" t="s">
        <v>201</v>
      </c>
      <c r="DE49" s="3" t="s">
        <v>201</v>
      </c>
      <c r="DF49" s="3" t="s">
        <v>201</v>
      </c>
      <c r="DG49" s="3" t="s">
        <v>201</v>
      </c>
      <c r="DH49" s="3" t="s">
        <v>201</v>
      </c>
      <c r="DI49" s="3" t="s">
        <v>201</v>
      </c>
      <c r="DJ49" s="3" t="s">
        <v>201</v>
      </c>
      <c r="DK49" s="3" t="s">
        <v>201</v>
      </c>
      <c r="DL49" s="3" t="s">
        <v>201</v>
      </c>
      <c r="DM49" s="3" t="s">
        <v>201</v>
      </c>
      <c r="DN49" s="3" t="s">
        <v>201</v>
      </c>
      <c r="DO49" s="3" t="s">
        <v>201</v>
      </c>
      <c r="DP49" s="3" t="s">
        <v>201</v>
      </c>
      <c r="DQ49" s="3" t="s">
        <v>201</v>
      </c>
      <c r="DR49">
        <f t="shared" si="0"/>
        <v>2018</v>
      </c>
    </row>
    <row r="50" spans="1:122" x14ac:dyDescent="0.35">
      <c r="A50" s="4">
        <f t="shared" si="1"/>
        <v>43466</v>
      </c>
      <c r="B50" s="5">
        <v>133</v>
      </c>
      <c r="C50" s="5">
        <v>146</v>
      </c>
      <c r="D50" s="5">
        <v>122</v>
      </c>
      <c r="E50" s="5">
        <v>87</v>
      </c>
      <c r="F50" s="5">
        <v>52</v>
      </c>
      <c r="G50" s="5">
        <v>59</v>
      </c>
      <c r="H50" s="5">
        <v>58</v>
      </c>
      <c r="I50" s="5">
        <v>22</v>
      </c>
      <c r="J50" s="5">
        <v>29</v>
      </c>
      <c r="K50" s="5">
        <v>36</v>
      </c>
      <c r="L50" s="5">
        <v>21</v>
      </c>
      <c r="M50" s="5">
        <v>22</v>
      </c>
      <c r="N50" s="5">
        <v>22</v>
      </c>
      <c r="O50" s="5">
        <v>16</v>
      </c>
      <c r="P50" s="5">
        <v>23</v>
      </c>
      <c r="Q50" s="5">
        <v>11</v>
      </c>
      <c r="R50" s="5">
        <v>13</v>
      </c>
      <c r="S50" s="5">
        <v>10</v>
      </c>
      <c r="T50" s="5">
        <v>19</v>
      </c>
      <c r="U50" s="5">
        <v>4</v>
      </c>
      <c r="V50" s="5">
        <v>5</v>
      </c>
      <c r="W50" s="5">
        <v>8</v>
      </c>
      <c r="X50" s="5">
        <v>10</v>
      </c>
      <c r="Y50" s="5">
        <v>9</v>
      </c>
      <c r="Z50" s="5">
        <v>9</v>
      </c>
      <c r="AA50" s="5">
        <v>5</v>
      </c>
      <c r="AB50" s="5">
        <v>4</v>
      </c>
      <c r="AC50" s="5">
        <v>7</v>
      </c>
      <c r="AD50" s="5">
        <v>7</v>
      </c>
      <c r="AE50" s="5">
        <v>8</v>
      </c>
      <c r="AF50" s="5">
        <v>3</v>
      </c>
      <c r="AG50" s="5">
        <v>7</v>
      </c>
      <c r="AH50" s="5">
        <v>5</v>
      </c>
      <c r="AI50" s="5">
        <v>2</v>
      </c>
      <c r="AJ50" s="5">
        <v>6</v>
      </c>
      <c r="AK50" s="5">
        <v>6</v>
      </c>
      <c r="AL50" s="5">
        <v>4</v>
      </c>
      <c r="AM50" s="5">
        <v>6</v>
      </c>
      <c r="AN50" s="5">
        <v>2</v>
      </c>
      <c r="AO50" s="5">
        <v>6</v>
      </c>
      <c r="AP50" s="5">
        <v>4</v>
      </c>
      <c r="AQ50" s="5">
        <v>1</v>
      </c>
      <c r="AR50" s="5">
        <v>3</v>
      </c>
      <c r="AS50" s="5">
        <v>3</v>
      </c>
      <c r="AT50" s="5">
        <v>1</v>
      </c>
      <c r="AU50" s="5">
        <v>4</v>
      </c>
      <c r="AV50" s="5">
        <v>1</v>
      </c>
      <c r="AW50" s="5">
        <v>4</v>
      </c>
      <c r="AX50" s="5">
        <v>2</v>
      </c>
      <c r="AY50" s="5">
        <v>3</v>
      </c>
      <c r="AZ50" s="5">
        <v>1</v>
      </c>
      <c r="BA50" s="5">
        <v>4</v>
      </c>
      <c r="BB50" s="5">
        <v>3</v>
      </c>
      <c r="BC50" s="5">
        <v>1</v>
      </c>
      <c r="BD50" s="5">
        <v>8</v>
      </c>
      <c r="BE50" s="5">
        <v>1</v>
      </c>
      <c r="BF50" s="5">
        <v>0</v>
      </c>
      <c r="BG50" s="5">
        <v>2</v>
      </c>
      <c r="BH50" s="5">
        <v>4</v>
      </c>
      <c r="BI50" s="5">
        <v>1</v>
      </c>
      <c r="BJ50" s="5">
        <v>3</v>
      </c>
      <c r="BK50" s="5">
        <v>0</v>
      </c>
      <c r="BL50" s="5">
        <v>1</v>
      </c>
      <c r="BM50" s="5">
        <v>4</v>
      </c>
      <c r="BN50" s="5">
        <v>1</v>
      </c>
      <c r="BO50" s="5">
        <v>1</v>
      </c>
      <c r="BP50" s="5">
        <v>0</v>
      </c>
      <c r="BQ50" s="5">
        <v>2</v>
      </c>
      <c r="BR50" s="5">
        <v>0</v>
      </c>
      <c r="BS50" s="5">
        <v>0</v>
      </c>
      <c r="BT50" s="5">
        <v>2</v>
      </c>
      <c r="BU50" s="5">
        <v>0</v>
      </c>
      <c r="BV50" s="5" t="s">
        <v>201</v>
      </c>
      <c r="BW50" s="5" t="s">
        <v>201</v>
      </c>
      <c r="BX50" s="5" t="s">
        <v>201</v>
      </c>
      <c r="BY50" s="5" t="s">
        <v>201</v>
      </c>
      <c r="BZ50" s="5" t="s">
        <v>201</v>
      </c>
      <c r="CA50" s="5" t="s">
        <v>201</v>
      </c>
      <c r="CB50" s="5" t="s">
        <v>201</v>
      </c>
      <c r="CC50" s="5" t="s">
        <v>201</v>
      </c>
      <c r="CD50" s="5" t="s">
        <v>201</v>
      </c>
      <c r="CE50" s="5" t="s">
        <v>201</v>
      </c>
      <c r="CF50" s="5" t="s">
        <v>201</v>
      </c>
      <c r="CG50" s="5" t="s">
        <v>201</v>
      </c>
      <c r="CH50" s="5" t="s">
        <v>201</v>
      </c>
      <c r="CI50" s="5" t="s">
        <v>201</v>
      </c>
      <c r="CJ50" s="5" t="s">
        <v>201</v>
      </c>
      <c r="CK50" s="5" t="s">
        <v>201</v>
      </c>
      <c r="CL50" s="5" t="s">
        <v>201</v>
      </c>
      <c r="CM50" s="5" t="s">
        <v>201</v>
      </c>
      <c r="CN50" s="5" t="s">
        <v>201</v>
      </c>
      <c r="CO50" s="5" t="s">
        <v>201</v>
      </c>
      <c r="CP50" s="5" t="s">
        <v>201</v>
      </c>
      <c r="CQ50" s="5" t="s">
        <v>201</v>
      </c>
      <c r="CR50" s="5" t="s">
        <v>201</v>
      </c>
      <c r="CS50" s="5" t="s">
        <v>201</v>
      </c>
      <c r="CT50" s="5" t="s">
        <v>201</v>
      </c>
      <c r="CU50" s="5" t="s">
        <v>201</v>
      </c>
      <c r="CV50" s="5" t="s">
        <v>201</v>
      </c>
      <c r="CW50" s="5" t="s">
        <v>201</v>
      </c>
      <c r="CX50" s="5" t="s">
        <v>201</v>
      </c>
      <c r="CY50" s="5" t="s">
        <v>201</v>
      </c>
      <c r="CZ50" s="5" t="s">
        <v>201</v>
      </c>
      <c r="DA50" s="5" t="s">
        <v>201</v>
      </c>
      <c r="DB50" s="5" t="s">
        <v>201</v>
      </c>
      <c r="DC50" s="5" t="s">
        <v>201</v>
      </c>
      <c r="DD50" s="5" t="s">
        <v>201</v>
      </c>
      <c r="DE50" s="5" t="s">
        <v>201</v>
      </c>
      <c r="DF50" s="5" t="s">
        <v>201</v>
      </c>
      <c r="DG50" s="5" t="s">
        <v>201</v>
      </c>
      <c r="DH50" s="5" t="s">
        <v>201</v>
      </c>
      <c r="DI50" s="5" t="s">
        <v>201</v>
      </c>
      <c r="DJ50" s="5" t="s">
        <v>201</v>
      </c>
      <c r="DK50" s="5" t="s">
        <v>201</v>
      </c>
      <c r="DL50" s="5" t="s">
        <v>201</v>
      </c>
      <c r="DM50" s="5" t="s">
        <v>201</v>
      </c>
      <c r="DN50" s="5" t="s">
        <v>201</v>
      </c>
      <c r="DO50" s="5" t="s">
        <v>201</v>
      </c>
      <c r="DP50" s="5" t="s">
        <v>201</v>
      </c>
      <c r="DQ50" s="5" t="s">
        <v>201</v>
      </c>
      <c r="DR50">
        <f t="shared" si="0"/>
        <v>2019</v>
      </c>
    </row>
    <row r="51" spans="1:122" x14ac:dyDescent="0.35">
      <c r="A51" s="1">
        <f t="shared" si="1"/>
        <v>43497</v>
      </c>
      <c r="B51" s="2">
        <v>126</v>
      </c>
      <c r="C51" s="2">
        <v>162</v>
      </c>
      <c r="D51" s="2">
        <v>128</v>
      </c>
      <c r="E51" s="2">
        <v>84</v>
      </c>
      <c r="F51" s="2">
        <v>47</v>
      </c>
      <c r="G51" s="2">
        <v>62</v>
      </c>
      <c r="H51" s="2">
        <v>29</v>
      </c>
      <c r="I51" s="2">
        <v>36</v>
      </c>
      <c r="J51" s="2">
        <v>33</v>
      </c>
      <c r="K51" s="2">
        <v>27</v>
      </c>
      <c r="L51" s="2">
        <v>15</v>
      </c>
      <c r="M51" s="2">
        <v>16</v>
      </c>
      <c r="N51" s="3">
        <v>13</v>
      </c>
      <c r="O51" s="3">
        <v>15</v>
      </c>
      <c r="P51" s="3">
        <v>13</v>
      </c>
      <c r="Q51" s="3">
        <v>16</v>
      </c>
      <c r="R51" s="3">
        <v>9</v>
      </c>
      <c r="S51" s="3">
        <v>14</v>
      </c>
      <c r="T51" s="3">
        <v>7</v>
      </c>
      <c r="U51" s="3">
        <v>9</v>
      </c>
      <c r="V51" s="3">
        <v>9</v>
      </c>
      <c r="W51" s="3">
        <v>12</v>
      </c>
      <c r="X51" s="3">
        <v>3</v>
      </c>
      <c r="Y51" s="3">
        <v>8</v>
      </c>
      <c r="Z51" s="3">
        <v>11</v>
      </c>
      <c r="AA51" s="3">
        <v>9</v>
      </c>
      <c r="AB51" s="3">
        <v>9</v>
      </c>
      <c r="AC51" s="3">
        <v>7</v>
      </c>
      <c r="AD51" s="3">
        <v>8</v>
      </c>
      <c r="AE51" s="3">
        <v>6</v>
      </c>
      <c r="AF51" s="3">
        <v>5</v>
      </c>
      <c r="AG51" s="3">
        <v>4</v>
      </c>
      <c r="AH51" s="3">
        <v>4</v>
      </c>
      <c r="AI51" s="3">
        <v>5</v>
      </c>
      <c r="AJ51" s="3">
        <v>6</v>
      </c>
      <c r="AK51" s="3">
        <v>2</v>
      </c>
      <c r="AL51" s="3">
        <v>2</v>
      </c>
      <c r="AM51" s="3">
        <v>1</v>
      </c>
      <c r="AN51" s="3">
        <v>3</v>
      </c>
      <c r="AO51" s="3">
        <v>3</v>
      </c>
      <c r="AP51" s="3">
        <v>4</v>
      </c>
      <c r="AQ51" s="3">
        <v>2</v>
      </c>
      <c r="AR51" s="3">
        <v>1</v>
      </c>
      <c r="AS51" s="3">
        <v>3</v>
      </c>
      <c r="AT51" s="3">
        <v>2</v>
      </c>
      <c r="AU51" s="3">
        <v>4</v>
      </c>
      <c r="AV51" s="3">
        <v>0</v>
      </c>
      <c r="AW51" s="3">
        <v>2</v>
      </c>
      <c r="AX51" s="3">
        <v>2</v>
      </c>
      <c r="AY51" s="3">
        <v>1</v>
      </c>
      <c r="AZ51" s="3">
        <v>3</v>
      </c>
      <c r="BA51" s="3">
        <v>2</v>
      </c>
      <c r="BB51" s="3">
        <v>1</v>
      </c>
      <c r="BC51" s="3">
        <v>1</v>
      </c>
      <c r="BD51" s="3">
        <v>1</v>
      </c>
      <c r="BE51" s="3">
        <v>1</v>
      </c>
      <c r="BF51" s="3">
        <v>0</v>
      </c>
      <c r="BG51" s="3">
        <v>0</v>
      </c>
      <c r="BH51" s="3">
        <v>1</v>
      </c>
      <c r="BI51" s="3">
        <v>1</v>
      </c>
      <c r="BJ51" s="3">
        <v>6</v>
      </c>
      <c r="BK51" s="3">
        <v>5</v>
      </c>
      <c r="BL51" s="3">
        <v>0</v>
      </c>
      <c r="BM51" s="3">
        <v>0</v>
      </c>
      <c r="BN51" s="3">
        <v>1</v>
      </c>
      <c r="BO51" s="3">
        <v>2</v>
      </c>
      <c r="BP51" s="3">
        <v>0</v>
      </c>
      <c r="BQ51" s="3">
        <v>0</v>
      </c>
      <c r="BR51" s="3">
        <v>0</v>
      </c>
      <c r="BS51" s="3">
        <v>0</v>
      </c>
      <c r="BT51" s="3">
        <v>0</v>
      </c>
      <c r="BU51" s="3" t="s">
        <v>201</v>
      </c>
      <c r="BV51" s="3" t="s">
        <v>201</v>
      </c>
      <c r="BW51" s="3" t="s">
        <v>201</v>
      </c>
      <c r="BX51" s="3" t="s">
        <v>201</v>
      </c>
      <c r="BY51" s="3" t="s">
        <v>201</v>
      </c>
      <c r="BZ51" s="3" t="s">
        <v>201</v>
      </c>
      <c r="CA51" s="3" t="s">
        <v>201</v>
      </c>
      <c r="CB51" s="3" t="s">
        <v>201</v>
      </c>
      <c r="CC51" s="3" t="s">
        <v>201</v>
      </c>
      <c r="CD51" s="3" t="s">
        <v>201</v>
      </c>
      <c r="CE51" s="3" t="s">
        <v>201</v>
      </c>
      <c r="CF51" s="3" t="s">
        <v>201</v>
      </c>
      <c r="CG51" s="3" t="s">
        <v>201</v>
      </c>
      <c r="CH51" s="3" t="s">
        <v>201</v>
      </c>
      <c r="CI51" s="3" t="s">
        <v>201</v>
      </c>
      <c r="CJ51" s="3" t="s">
        <v>201</v>
      </c>
      <c r="CK51" s="3" t="s">
        <v>201</v>
      </c>
      <c r="CL51" s="3" t="s">
        <v>201</v>
      </c>
      <c r="CM51" s="3" t="s">
        <v>201</v>
      </c>
      <c r="CN51" s="3" t="s">
        <v>201</v>
      </c>
      <c r="CO51" s="3" t="s">
        <v>201</v>
      </c>
      <c r="CP51" s="3" t="s">
        <v>201</v>
      </c>
      <c r="CQ51" s="3" t="s">
        <v>201</v>
      </c>
      <c r="CR51" s="3" t="s">
        <v>201</v>
      </c>
      <c r="CS51" s="3" t="s">
        <v>201</v>
      </c>
      <c r="CT51" s="3" t="s">
        <v>201</v>
      </c>
      <c r="CU51" s="3" t="s">
        <v>201</v>
      </c>
      <c r="CV51" s="3" t="s">
        <v>201</v>
      </c>
      <c r="CW51" s="3" t="s">
        <v>201</v>
      </c>
      <c r="CX51" s="3" t="s">
        <v>201</v>
      </c>
      <c r="CY51" s="3" t="s">
        <v>201</v>
      </c>
      <c r="CZ51" s="3" t="s">
        <v>201</v>
      </c>
      <c r="DA51" s="3" t="s">
        <v>201</v>
      </c>
      <c r="DB51" s="3" t="s">
        <v>201</v>
      </c>
      <c r="DC51" s="3" t="s">
        <v>201</v>
      </c>
      <c r="DD51" s="3" t="s">
        <v>201</v>
      </c>
      <c r="DE51" s="3" t="s">
        <v>201</v>
      </c>
      <c r="DF51" s="3" t="s">
        <v>201</v>
      </c>
      <c r="DG51" s="3" t="s">
        <v>201</v>
      </c>
      <c r="DH51" s="3" t="s">
        <v>201</v>
      </c>
      <c r="DI51" s="3" t="s">
        <v>201</v>
      </c>
      <c r="DJ51" s="3" t="s">
        <v>201</v>
      </c>
      <c r="DK51" s="3" t="s">
        <v>201</v>
      </c>
      <c r="DL51" s="3" t="s">
        <v>201</v>
      </c>
      <c r="DM51" s="3" t="s">
        <v>201</v>
      </c>
      <c r="DN51" s="3" t="s">
        <v>201</v>
      </c>
      <c r="DO51" s="3" t="s">
        <v>201</v>
      </c>
      <c r="DP51" s="3" t="s">
        <v>201</v>
      </c>
      <c r="DQ51" s="3" t="s">
        <v>201</v>
      </c>
      <c r="DR51">
        <f t="shared" si="0"/>
        <v>2019</v>
      </c>
    </row>
    <row r="52" spans="1:122" x14ac:dyDescent="0.35">
      <c r="A52" s="1">
        <f t="shared" si="1"/>
        <v>43525</v>
      </c>
      <c r="B52" s="2">
        <v>105</v>
      </c>
      <c r="C52" s="2">
        <v>168</v>
      </c>
      <c r="D52" s="2">
        <v>105</v>
      </c>
      <c r="E52" s="2">
        <v>56</v>
      </c>
      <c r="F52" s="2">
        <v>45</v>
      </c>
      <c r="G52" s="2">
        <v>26</v>
      </c>
      <c r="H52" s="2">
        <v>30</v>
      </c>
      <c r="I52" s="2">
        <v>20</v>
      </c>
      <c r="J52" s="2">
        <v>16</v>
      </c>
      <c r="K52" s="2">
        <v>24</v>
      </c>
      <c r="L52" s="2">
        <v>24</v>
      </c>
      <c r="M52" s="2">
        <v>21</v>
      </c>
      <c r="N52" s="3">
        <v>17</v>
      </c>
      <c r="O52" s="3">
        <v>17</v>
      </c>
      <c r="P52" s="3">
        <v>15</v>
      </c>
      <c r="Q52" s="3">
        <v>12</v>
      </c>
      <c r="R52" s="3">
        <v>11</v>
      </c>
      <c r="S52" s="3">
        <v>6</v>
      </c>
      <c r="T52" s="3">
        <v>7</v>
      </c>
      <c r="U52" s="3">
        <v>8</v>
      </c>
      <c r="V52" s="3">
        <v>7</v>
      </c>
      <c r="W52" s="3">
        <v>6</v>
      </c>
      <c r="X52" s="3">
        <v>3</v>
      </c>
      <c r="Y52" s="3">
        <v>5</v>
      </c>
      <c r="Z52" s="3">
        <v>0</v>
      </c>
      <c r="AA52" s="3">
        <v>4</v>
      </c>
      <c r="AB52" s="3">
        <v>4</v>
      </c>
      <c r="AC52" s="3">
        <v>4</v>
      </c>
      <c r="AD52" s="3">
        <v>5</v>
      </c>
      <c r="AE52" s="3">
        <v>2</v>
      </c>
      <c r="AF52" s="3">
        <v>2</v>
      </c>
      <c r="AG52" s="3">
        <v>2</v>
      </c>
      <c r="AH52" s="3">
        <v>4</v>
      </c>
      <c r="AI52" s="3">
        <v>2</v>
      </c>
      <c r="AJ52" s="3">
        <v>2</v>
      </c>
      <c r="AK52" s="3">
        <v>3</v>
      </c>
      <c r="AL52" s="3">
        <v>2</v>
      </c>
      <c r="AM52" s="3">
        <v>3</v>
      </c>
      <c r="AN52" s="3">
        <v>2</v>
      </c>
      <c r="AO52" s="3">
        <v>1</v>
      </c>
      <c r="AP52" s="3">
        <v>2</v>
      </c>
      <c r="AQ52" s="3">
        <v>2</v>
      </c>
      <c r="AR52" s="3">
        <v>2</v>
      </c>
      <c r="AS52" s="3">
        <v>3</v>
      </c>
      <c r="AT52" s="3">
        <v>2</v>
      </c>
      <c r="AU52" s="3">
        <v>2</v>
      </c>
      <c r="AV52" s="3">
        <v>1</v>
      </c>
      <c r="AW52" s="3">
        <v>0</v>
      </c>
      <c r="AX52" s="3">
        <v>3</v>
      </c>
      <c r="AY52" s="3">
        <v>1</v>
      </c>
      <c r="AZ52" s="3">
        <v>1</v>
      </c>
      <c r="BA52" s="3">
        <v>0</v>
      </c>
      <c r="BB52" s="3">
        <v>1</v>
      </c>
      <c r="BC52" s="3">
        <v>0</v>
      </c>
      <c r="BD52" s="3">
        <v>0</v>
      </c>
      <c r="BE52" s="3">
        <v>0</v>
      </c>
      <c r="BF52" s="3">
        <v>0</v>
      </c>
      <c r="BG52" s="3">
        <v>0</v>
      </c>
      <c r="BH52" s="3">
        <v>2</v>
      </c>
      <c r="BI52" s="3">
        <v>0</v>
      </c>
      <c r="BJ52" s="3">
        <v>0</v>
      </c>
      <c r="BK52" s="3">
        <v>0</v>
      </c>
      <c r="BL52" s="3">
        <v>1</v>
      </c>
      <c r="BM52" s="3">
        <v>2</v>
      </c>
      <c r="BN52" s="3">
        <v>1</v>
      </c>
      <c r="BO52" s="3">
        <v>1</v>
      </c>
      <c r="BP52" s="3">
        <v>1</v>
      </c>
      <c r="BQ52" s="3">
        <v>0</v>
      </c>
      <c r="BR52" s="3">
        <v>0</v>
      </c>
      <c r="BS52" s="3">
        <v>0</v>
      </c>
      <c r="BT52" s="3" t="s">
        <v>201</v>
      </c>
      <c r="BU52" s="3" t="s">
        <v>201</v>
      </c>
      <c r="BV52" s="3" t="s">
        <v>201</v>
      </c>
      <c r="BW52" s="3" t="s">
        <v>201</v>
      </c>
      <c r="BX52" s="3" t="s">
        <v>201</v>
      </c>
      <c r="BY52" s="3" t="s">
        <v>201</v>
      </c>
      <c r="BZ52" s="3" t="s">
        <v>201</v>
      </c>
      <c r="CA52" s="3" t="s">
        <v>201</v>
      </c>
      <c r="CB52" s="3" t="s">
        <v>201</v>
      </c>
      <c r="CC52" s="3" t="s">
        <v>201</v>
      </c>
      <c r="CD52" s="3" t="s">
        <v>201</v>
      </c>
      <c r="CE52" s="3" t="s">
        <v>201</v>
      </c>
      <c r="CF52" s="3" t="s">
        <v>201</v>
      </c>
      <c r="CG52" s="3" t="s">
        <v>201</v>
      </c>
      <c r="CH52" s="3" t="s">
        <v>201</v>
      </c>
      <c r="CI52" s="3" t="s">
        <v>201</v>
      </c>
      <c r="CJ52" s="3" t="s">
        <v>201</v>
      </c>
      <c r="CK52" s="3" t="s">
        <v>201</v>
      </c>
      <c r="CL52" s="3" t="s">
        <v>201</v>
      </c>
      <c r="CM52" s="3" t="s">
        <v>201</v>
      </c>
      <c r="CN52" s="3" t="s">
        <v>201</v>
      </c>
      <c r="CO52" s="3" t="s">
        <v>201</v>
      </c>
      <c r="CP52" s="3" t="s">
        <v>201</v>
      </c>
      <c r="CQ52" s="3" t="s">
        <v>201</v>
      </c>
      <c r="CR52" s="3" t="s">
        <v>201</v>
      </c>
      <c r="CS52" s="3" t="s">
        <v>201</v>
      </c>
      <c r="CT52" s="3" t="s">
        <v>201</v>
      </c>
      <c r="CU52" s="3" t="s">
        <v>201</v>
      </c>
      <c r="CV52" s="3" t="s">
        <v>201</v>
      </c>
      <c r="CW52" s="3" t="s">
        <v>201</v>
      </c>
      <c r="CX52" s="3" t="s">
        <v>201</v>
      </c>
      <c r="CY52" s="3" t="s">
        <v>201</v>
      </c>
      <c r="CZ52" s="3" t="s">
        <v>201</v>
      </c>
      <c r="DA52" s="3" t="s">
        <v>201</v>
      </c>
      <c r="DB52" s="3" t="s">
        <v>201</v>
      </c>
      <c r="DC52" s="3" t="s">
        <v>201</v>
      </c>
      <c r="DD52" s="3" t="s">
        <v>201</v>
      </c>
      <c r="DE52" s="3" t="s">
        <v>201</v>
      </c>
      <c r="DF52" s="3" t="s">
        <v>201</v>
      </c>
      <c r="DG52" s="3" t="s">
        <v>201</v>
      </c>
      <c r="DH52" s="3" t="s">
        <v>201</v>
      </c>
      <c r="DI52" s="3" t="s">
        <v>201</v>
      </c>
      <c r="DJ52" s="3" t="s">
        <v>201</v>
      </c>
      <c r="DK52" s="3" t="s">
        <v>201</v>
      </c>
      <c r="DL52" s="3" t="s">
        <v>201</v>
      </c>
      <c r="DM52" s="3" t="s">
        <v>201</v>
      </c>
      <c r="DN52" s="3" t="s">
        <v>201</v>
      </c>
      <c r="DO52" s="3" t="s">
        <v>201</v>
      </c>
      <c r="DP52" s="3" t="s">
        <v>201</v>
      </c>
      <c r="DQ52" s="3" t="s">
        <v>201</v>
      </c>
      <c r="DR52">
        <f t="shared" si="0"/>
        <v>2019</v>
      </c>
    </row>
    <row r="53" spans="1:122" x14ac:dyDescent="0.35">
      <c r="A53" s="1">
        <f t="shared" si="1"/>
        <v>43556</v>
      </c>
      <c r="B53" s="2">
        <v>108</v>
      </c>
      <c r="C53" s="2">
        <v>205</v>
      </c>
      <c r="D53" s="2">
        <v>111</v>
      </c>
      <c r="E53" s="2">
        <v>85</v>
      </c>
      <c r="F53" s="2">
        <v>24</v>
      </c>
      <c r="G53" s="2">
        <v>43</v>
      </c>
      <c r="H53" s="2">
        <v>30</v>
      </c>
      <c r="I53" s="2">
        <v>25</v>
      </c>
      <c r="J53" s="2">
        <v>19</v>
      </c>
      <c r="K53" s="2">
        <v>27</v>
      </c>
      <c r="L53" s="2">
        <v>24</v>
      </c>
      <c r="M53" s="2">
        <v>20</v>
      </c>
      <c r="N53" s="3">
        <v>15</v>
      </c>
      <c r="O53" s="3">
        <v>9</v>
      </c>
      <c r="P53" s="3">
        <v>10</v>
      </c>
      <c r="Q53" s="3">
        <v>13</v>
      </c>
      <c r="R53" s="3">
        <v>12</v>
      </c>
      <c r="S53" s="3">
        <v>4</v>
      </c>
      <c r="T53" s="3">
        <v>9</v>
      </c>
      <c r="U53" s="3">
        <v>15</v>
      </c>
      <c r="V53" s="3">
        <v>7</v>
      </c>
      <c r="W53" s="3">
        <v>1</v>
      </c>
      <c r="X53" s="3">
        <v>4</v>
      </c>
      <c r="Y53" s="3">
        <v>7</v>
      </c>
      <c r="Z53" s="3">
        <v>6</v>
      </c>
      <c r="AA53" s="3">
        <v>8</v>
      </c>
      <c r="AB53" s="3">
        <v>6</v>
      </c>
      <c r="AC53" s="3">
        <v>3</v>
      </c>
      <c r="AD53" s="3">
        <v>5</v>
      </c>
      <c r="AE53" s="3">
        <v>3</v>
      </c>
      <c r="AF53" s="3">
        <v>4</v>
      </c>
      <c r="AG53" s="3">
        <v>4</v>
      </c>
      <c r="AH53" s="3">
        <v>1</v>
      </c>
      <c r="AI53" s="3">
        <v>2</v>
      </c>
      <c r="AJ53" s="3">
        <v>6</v>
      </c>
      <c r="AK53" s="3">
        <v>3</v>
      </c>
      <c r="AL53" s="3">
        <v>1</v>
      </c>
      <c r="AM53" s="3">
        <v>3</v>
      </c>
      <c r="AN53" s="3">
        <v>3</v>
      </c>
      <c r="AO53" s="3">
        <v>1</v>
      </c>
      <c r="AP53" s="3">
        <v>2</v>
      </c>
      <c r="AQ53" s="3">
        <v>2</v>
      </c>
      <c r="AR53" s="3">
        <v>2</v>
      </c>
      <c r="AS53" s="3">
        <v>4</v>
      </c>
      <c r="AT53" s="3">
        <v>0</v>
      </c>
      <c r="AU53" s="3">
        <v>1</v>
      </c>
      <c r="AV53" s="3">
        <v>4</v>
      </c>
      <c r="AW53" s="3">
        <v>2</v>
      </c>
      <c r="AX53" s="3">
        <v>3</v>
      </c>
      <c r="AY53" s="3">
        <v>2</v>
      </c>
      <c r="AZ53" s="3">
        <v>0</v>
      </c>
      <c r="BA53" s="3">
        <v>3</v>
      </c>
      <c r="BB53" s="3">
        <v>1</v>
      </c>
      <c r="BC53" s="3">
        <v>2</v>
      </c>
      <c r="BD53" s="3">
        <v>2</v>
      </c>
      <c r="BE53" s="3">
        <v>2</v>
      </c>
      <c r="BF53" s="3">
        <v>1</v>
      </c>
      <c r="BG53" s="3">
        <v>0</v>
      </c>
      <c r="BH53" s="3">
        <v>4</v>
      </c>
      <c r="BI53" s="3">
        <v>1</v>
      </c>
      <c r="BJ53" s="3">
        <v>2</v>
      </c>
      <c r="BK53" s="3">
        <v>0</v>
      </c>
      <c r="BL53" s="3">
        <v>1</v>
      </c>
      <c r="BM53" s="3">
        <v>0</v>
      </c>
      <c r="BN53" s="3">
        <v>2</v>
      </c>
      <c r="BO53" s="3">
        <v>0</v>
      </c>
      <c r="BP53" s="3">
        <v>0</v>
      </c>
      <c r="BQ53" s="3">
        <v>0</v>
      </c>
      <c r="BR53" s="3">
        <v>0</v>
      </c>
      <c r="BS53" s="3" t="s">
        <v>201</v>
      </c>
      <c r="BT53" s="3" t="s">
        <v>201</v>
      </c>
      <c r="BU53" s="3" t="s">
        <v>201</v>
      </c>
      <c r="BV53" s="3" t="s">
        <v>201</v>
      </c>
      <c r="BW53" s="3" t="s">
        <v>201</v>
      </c>
      <c r="BX53" s="3" t="s">
        <v>201</v>
      </c>
      <c r="BY53" s="3" t="s">
        <v>201</v>
      </c>
      <c r="BZ53" s="3" t="s">
        <v>201</v>
      </c>
      <c r="CA53" s="3" t="s">
        <v>201</v>
      </c>
      <c r="CB53" s="3" t="s">
        <v>201</v>
      </c>
      <c r="CC53" s="3" t="s">
        <v>201</v>
      </c>
      <c r="CD53" s="3" t="s">
        <v>201</v>
      </c>
      <c r="CE53" s="3" t="s">
        <v>201</v>
      </c>
      <c r="CF53" s="3" t="s">
        <v>201</v>
      </c>
      <c r="CG53" s="3" t="s">
        <v>201</v>
      </c>
      <c r="CH53" s="3" t="s">
        <v>201</v>
      </c>
      <c r="CI53" s="3" t="s">
        <v>201</v>
      </c>
      <c r="CJ53" s="3" t="s">
        <v>201</v>
      </c>
      <c r="CK53" s="3" t="s">
        <v>201</v>
      </c>
      <c r="CL53" s="3" t="s">
        <v>201</v>
      </c>
      <c r="CM53" s="3" t="s">
        <v>201</v>
      </c>
      <c r="CN53" s="3" t="s">
        <v>201</v>
      </c>
      <c r="CO53" s="3" t="s">
        <v>201</v>
      </c>
      <c r="CP53" s="3" t="s">
        <v>201</v>
      </c>
      <c r="CQ53" s="3" t="s">
        <v>201</v>
      </c>
      <c r="CR53" s="3" t="s">
        <v>201</v>
      </c>
      <c r="CS53" s="3" t="s">
        <v>201</v>
      </c>
      <c r="CT53" s="3" t="s">
        <v>201</v>
      </c>
      <c r="CU53" s="3" t="s">
        <v>201</v>
      </c>
      <c r="CV53" s="3" t="s">
        <v>201</v>
      </c>
      <c r="CW53" s="3" t="s">
        <v>201</v>
      </c>
      <c r="CX53" s="3" t="s">
        <v>201</v>
      </c>
      <c r="CY53" s="3" t="s">
        <v>201</v>
      </c>
      <c r="CZ53" s="3" t="s">
        <v>201</v>
      </c>
      <c r="DA53" s="3" t="s">
        <v>201</v>
      </c>
      <c r="DB53" s="3" t="s">
        <v>201</v>
      </c>
      <c r="DC53" s="3" t="s">
        <v>201</v>
      </c>
      <c r="DD53" s="3" t="s">
        <v>201</v>
      </c>
      <c r="DE53" s="3" t="s">
        <v>201</v>
      </c>
      <c r="DF53" s="3" t="s">
        <v>201</v>
      </c>
      <c r="DG53" s="3" t="s">
        <v>201</v>
      </c>
      <c r="DH53" s="3" t="s">
        <v>201</v>
      </c>
      <c r="DI53" s="3" t="s">
        <v>201</v>
      </c>
      <c r="DJ53" s="3" t="s">
        <v>201</v>
      </c>
      <c r="DK53" s="3" t="s">
        <v>201</v>
      </c>
      <c r="DL53" s="3" t="s">
        <v>201</v>
      </c>
      <c r="DM53" s="3" t="s">
        <v>201</v>
      </c>
      <c r="DN53" s="3" t="s">
        <v>201</v>
      </c>
      <c r="DO53" s="3" t="s">
        <v>201</v>
      </c>
      <c r="DP53" s="3" t="s">
        <v>201</v>
      </c>
      <c r="DQ53" s="3" t="s">
        <v>201</v>
      </c>
      <c r="DR53">
        <f t="shared" si="0"/>
        <v>2019</v>
      </c>
    </row>
    <row r="54" spans="1:122" x14ac:dyDescent="0.35">
      <c r="A54" s="1">
        <f t="shared" si="1"/>
        <v>43586</v>
      </c>
      <c r="B54" s="2">
        <v>142</v>
      </c>
      <c r="C54" s="2">
        <v>115</v>
      </c>
      <c r="D54" s="2">
        <v>202</v>
      </c>
      <c r="E54" s="2">
        <v>55</v>
      </c>
      <c r="F54" s="2">
        <v>49</v>
      </c>
      <c r="G54" s="2">
        <v>46</v>
      </c>
      <c r="H54" s="2">
        <v>30</v>
      </c>
      <c r="I54" s="2">
        <v>27</v>
      </c>
      <c r="J54" s="2">
        <v>29</v>
      </c>
      <c r="K54" s="2">
        <v>25</v>
      </c>
      <c r="L54" s="2">
        <v>19</v>
      </c>
      <c r="M54" s="2">
        <v>23</v>
      </c>
      <c r="N54" s="3">
        <v>18</v>
      </c>
      <c r="O54" s="3">
        <v>20</v>
      </c>
      <c r="P54" s="3">
        <v>16</v>
      </c>
      <c r="Q54" s="3">
        <v>5</v>
      </c>
      <c r="R54" s="3">
        <v>9</v>
      </c>
      <c r="S54" s="3">
        <v>14</v>
      </c>
      <c r="T54" s="3">
        <v>14</v>
      </c>
      <c r="U54" s="3">
        <v>9</v>
      </c>
      <c r="V54" s="3">
        <v>5</v>
      </c>
      <c r="W54" s="3">
        <v>4</v>
      </c>
      <c r="X54" s="3">
        <v>4</v>
      </c>
      <c r="Y54" s="3">
        <v>10</v>
      </c>
      <c r="Z54" s="3">
        <v>4</v>
      </c>
      <c r="AA54" s="3">
        <v>5</v>
      </c>
      <c r="AB54" s="3">
        <v>6</v>
      </c>
      <c r="AC54" s="3">
        <v>6</v>
      </c>
      <c r="AD54" s="3">
        <v>4</v>
      </c>
      <c r="AE54" s="3">
        <v>3</v>
      </c>
      <c r="AF54" s="3">
        <v>5</v>
      </c>
      <c r="AG54" s="3">
        <v>3</v>
      </c>
      <c r="AH54" s="3">
        <v>6</v>
      </c>
      <c r="AI54" s="3">
        <v>3</v>
      </c>
      <c r="AJ54" s="3">
        <v>4</v>
      </c>
      <c r="AK54" s="3">
        <v>5</v>
      </c>
      <c r="AL54" s="3">
        <v>3</v>
      </c>
      <c r="AM54" s="3">
        <v>2</v>
      </c>
      <c r="AN54" s="3">
        <v>3</v>
      </c>
      <c r="AO54" s="3">
        <v>0</v>
      </c>
      <c r="AP54" s="3">
        <v>3</v>
      </c>
      <c r="AQ54" s="3">
        <v>1</v>
      </c>
      <c r="AR54" s="3">
        <v>4</v>
      </c>
      <c r="AS54" s="3">
        <v>0</v>
      </c>
      <c r="AT54" s="3">
        <v>1</v>
      </c>
      <c r="AU54" s="3">
        <v>2</v>
      </c>
      <c r="AV54" s="3">
        <v>1</v>
      </c>
      <c r="AW54" s="3">
        <v>4</v>
      </c>
      <c r="AX54" s="3">
        <v>1</v>
      </c>
      <c r="AY54" s="3">
        <v>0</v>
      </c>
      <c r="AZ54" s="3">
        <v>0</v>
      </c>
      <c r="BA54" s="3">
        <v>3</v>
      </c>
      <c r="BB54" s="3">
        <v>2</v>
      </c>
      <c r="BC54" s="3">
        <v>2</v>
      </c>
      <c r="BD54" s="3">
        <v>1</v>
      </c>
      <c r="BE54" s="3">
        <v>0</v>
      </c>
      <c r="BF54" s="3">
        <v>0</v>
      </c>
      <c r="BG54" s="3">
        <v>0</v>
      </c>
      <c r="BH54" s="3">
        <v>0</v>
      </c>
      <c r="BI54" s="3">
        <v>1</v>
      </c>
      <c r="BJ54" s="3">
        <v>1</v>
      </c>
      <c r="BK54" s="3">
        <v>3</v>
      </c>
      <c r="BL54" s="3">
        <v>0</v>
      </c>
      <c r="BM54" s="3">
        <v>0</v>
      </c>
      <c r="BN54" s="3">
        <v>2</v>
      </c>
      <c r="BO54" s="3">
        <v>0</v>
      </c>
      <c r="BP54" s="3">
        <v>1</v>
      </c>
      <c r="BQ54" s="3">
        <v>0</v>
      </c>
      <c r="BR54" s="3" t="s">
        <v>201</v>
      </c>
      <c r="BS54" s="3" t="s">
        <v>201</v>
      </c>
      <c r="BT54" s="3" t="s">
        <v>201</v>
      </c>
      <c r="BU54" s="3" t="s">
        <v>201</v>
      </c>
      <c r="BV54" s="3" t="s">
        <v>201</v>
      </c>
      <c r="BW54" s="3" t="s">
        <v>201</v>
      </c>
      <c r="BX54" s="3" t="s">
        <v>201</v>
      </c>
      <c r="BY54" s="3" t="s">
        <v>201</v>
      </c>
      <c r="BZ54" s="3" t="s">
        <v>201</v>
      </c>
      <c r="CA54" s="3" t="s">
        <v>201</v>
      </c>
      <c r="CB54" s="3" t="s">
        <v>201</v>
      </c>
      <c r="CC54" s="3" t="s">
        <v>201</v>
      </c>
      <c r="CD54" s="3" t="s">
        <v>201</v>
      </c>
      <c r="CE54" s="3" t="s">
        <v>201</v>
      </c>
      <c r="CF54" s="3" t="s">
        <v>201</v>
      </c>
      <c r="CG54" s="3" t="s">
        <v>201</v>
      </c>
      <c r="CH54" s="3" t="s">
        <v>201</v>
      </c>
      <c r="CI54" s="3" t="s">
        <v>201</v>
      </c>
      <c r="CJ54" s="3" t="s">
        <v>201</v>
      </c>
      <c r="CK54" s="3" t="s">
        <v>201</v>
      </c>
      <c r="CL54" s="3" t="s">
        <v>201</v>
      </c>
      <c r="CM54" s="3" t="s">
        <v>201</v>
      </c>
      <c r="CN54" s="3" t="s">
        <v>201</v>
      </c>
      <c r="CO54" s="3" t="s">
        <v>201</v>
      </c>
      <c r="CP54" s="3" t="s">
        <v>201</v>
      </c>
      <c r="CQ54" s="3" t="s">
        <v>201</v>
      </c>
      <c r="CR54" s="3" t="s">
        <v>201</v>
      </c>
      <c r="CS54" s="3" t="s">
        <v>201</v>
      </c>
      <c r="CT54" s="3" t="s">
        <v>201</v>
      </c>
      <c r="CU54" s="3" t="s">
        <v>201</v>
      </c>
      <c r="CV54" s="3" t="s">
        <v>201</v>
      </c>
      <c r="CW54" s="3" t="s">
        <v>201</v>
      </c>
      <c r="CX54" s="3" t="s">
        <v>201</v>
      </c>
      <c r="CY54" s="3" t="s">
        <v>201</v>
      </c>
      <c r="CZ54" s="3" t="s">
        <v>201</v>
      </c>
      <c r="DA54" s="3" t="s">
        <v>201</v>
      </c>
      <c r="DB54" s="3" t="s">
        <v>201</v>
      </c>
      <c r="DC54" s="3" t="s">
        <v>201</v>
      </c>
      <c r="DD54" s="3" t="s">
        <v>201</v>
      </c>
      <c r="DE54" s="3" t="s">
        <v>201</v>
      </c>
      <c r="DF54" s="3" t="s">
        <v>201</v>
      </c>
      <c r="DG54" s="3" t="s">
        <v>201</v>
      </c>
      <c r="DH54" s="3" t="s">
        <v>201</v>
      </c>
      <c r="DI54" s="3" t="s">
        <v>201</v>
      </c>
      <c r="DJ54" s="3" t="s">
        <v>201</v>
      </c>
      <c r="DK54" s="3" t="s">
        <v>201</v>
      </c>
      <c r="DL54" s="3" t="s">
        <v>201</v>
      </c>
      <c r="DM54" s="3" t="s">
        <v>201</v>
      </c>
      <c r="DN54" s="3" t="s">
        <v>201</v>
      </c>
      <c r="DO54" s="3" t="s">
        <v>201</v>
      </c>
      <c r="DP54" s="3" t="s">
        <v>201</v>
      </c>
      <c r="DQ54" s="3" t="s">
        <v>201</v>
      </c>
      <c r="DR54">
        <f t="shared" si="0"/>
        <v>2019</v>
      </c>
    </row>
    <row r="55" spans="1:122" x14ac:dyDescent="0.35">
      <c r="A55" s="1">
        <f t="shared" si="1"/>
        <v>43617</v>
      </c>
      <c r="B55" s="2">
        <v>173</v>
      </c>
      <c r="C55" s="2">
        <v>120</v>
      </c>
      <c r="D55" s="2">
        <v>140</v>
      </c>
      <c r="E55" s="2">
        <v>68</v>
      </c>
      <c r="F55" s="2">
        <v>66</v>
      </c>
      <c r="G55" s="2">
        <v>41</v>
      </c>
      <c r="H55" s="2">
        <v>28</v>
      </c>
      <c r="I55" s="2">
        <v>30</v>
      </c>
      <c r="J55" s="2">
        <v>28</v>
      </c>
      <c r="K55" s="2">
        <v>24</v>
      </c>
      <c r="L55" s="2">
        <v>26</v>
      </c>
      <c r="M55" s="2">
        <v>23</v>
      </c>
      <c r="N55" s="3">
        <v>24</v>
      </c>
      <c r="O55" s="3">
        <v>16</v>
      </c>
      <c r="P55" s="3">
        <v>12</v>
      </c>
      <c r="Q55" s="3">
        <v>9</v>
      </c>
      <c r="R55" s="3">
        <v>14</v>
      </c>
      <c r="S55" s="3">
        <v>28</v>
      </c>
      <c r="T55" s="3">
        <v>10</v>
      </c>
      <c r="U55" s="3">
        <v>7</v>
      </c>
      <c r="V55" s="3">
        <v>14</v>
      </c>
      <c r="W55" s="3">
        <v>6</v>
      </c>
      <c r="X55" s="3">
        <v>3</v>
      </c>
      <c r="Y55" s="3">
        <v>9</v>
      </c>
      <c r="Z55" s="3">
        <v>6</v>
      </c>
      <c r="AA55" s="3">
        <v>3</v>
      </c>
      <c r="AB55" s="3">
        <v>8</v>
      </c>
      <c r="AC55" s="3">
        <v>9</v>
      </c>
      <c r="AD55" s="3">
        <v>1</v>
      </c>
      <c r="AE55" s="3">
        <v>4</v>
      </c>
      <c r="AF55" s="3">
        <v>4</v>
      </c>
      <c r="AG55" s="3">
        <v>4</v>
      </c>
      <c r="AH55" s="3">
        <v>3</v>
      </c>
      <c r="AI55" s="3">
        <v>7</v>
      </c>
      <c r="AJ55" s="3">
        <v>4</v>
      </c>
      <c r="AK55" s="3">
        <v>6</v>
      </c>
      <c r="AL55" s="3">
        <v>8</v>
      </c>
      <c r="AM55" s="3">
        <v>2</v>
      </c>
      <c r="AN55" s="3">
        <v>1</v>
      </c>
      <c r="AO55" s="3">
        <v>1</v>
      </c>
      <c r="AP55" s="3">
        <v>1</v>
      </c>
      <c r="AQ55" s="3">
        <v>3</v>
      </c>
      <c r="AR55" s="3">
        <v>2</v>
      </c>
      <c r="AS55" s="3">
        <v>4</v>
      </c>
      <c r="AT55" s="3">
        <v>4</v>
      </c>
      <c r="AU55" s="3">
        <v>0</v>
      </c>
      <c r="AV55" s="3">
        <v>4</v>
      </c>
      <c r="AW55" s="3">
        <v>1</v>
      </c>
      <c r="AX55" s="3">
        <v>3</v>
      </c>
      <c r="AY55" s="3">
        <v>2</v>
      </c>
      <c r="AZ55" s="3">
        <v>0</v>
      </c>
      <c r="BA55" s="3">
        <v>2</v>
      </c>
      <c r="BB55" s="3">
        <v>4</v>
      </c>
      <c r="BC55" s="3">
        <v>1</v>
      </c>
      <c r="BD55" s="3">
        <v>1</v>
      </c>
      <c r="BE55" s="3">
        <v>1</v>
      </c>
      <c r="BF55" s="3">
        <v>0</v>
      </c>
      <c r="BG55" s="3">
        <v>1</v>
      </c>
      <c r="BH55" s="3">
        <v>0</v>
      </c>
      <c r="BI55" s="3">
        <v>1</v>
      </c>
      <c r="BJ55" s="3">
        <v>2</v>
      </c>
      <c r="BK55" s="3">
        <v>1</v>
      </c>
      <c r="BL55" s="3">
        <v>2</v>
      </c>
      <c r="BM55" s="3">
        <v>3</v>
      </c>
      <c r="BN55" s="3">
        <v>1</v>
      </c>
      <c r="BO55" s="3">
        <v>0</v>
      </c>
      <c r="BP55" s="3">
        <v>0</v>
      </c>
      <c r="BQ55" s="3" t="s">
        <v>201</v>
      </c>
      <c r="BR55" s="3" t="s">
        <v>201</v>
      </c>
      <c r="BS55" s="3" t="s">
        <v>201</v>
      </c>
      <c r="BT55" s="3" t="s">
        <v>201</v>
      </c>
      <c r="BU55" s="3" t="s">
        <v>201</v>
      </c>
      <c r="BV55" s="3" t="s">
        <v>201</v>
      </c>
      <c r="BW55" s="3" t="s">
        <v>201</v>
      </c>
      <c r="BX55" s="3" t="s">
        <v>201</v>
      </c>
      <c r="BY55" s="3" t="s">
        <v>201</v>
      </c>
      <c r="BZ55" s="3" t="s">
        <v>201</v>
      </c>
      <c r="CA55" s="3" t="s">
        <v>201</v>
      </c>
      <c r="CB55" s="3" t="s">
        <v>201</v>
      </c>
      <c r="CC55" s="3" t="s">
        <v>201</v>
      </c>
      <c r="CD55" s="3" t="s">
        <v>201</v>
      </c>
      <c r="CE55" s="3" t="s">
        <v>201</v>
      </c>
      <c r="CF55" s="3" t="s">
        <v>201</v>
      </c>
      <c r="CG55" s="3" t="s">
        <v>201</v>
      </c>
      <c r="CH55" s="3" t="s">
        <v>201</v>
      </c>
      <c r="CI55" s="3" t="s">
        <v>201</v>
      </c>
      <c r="CJ55" s="3" t="s">
        <v>201</v>
      </c>
      <c r="CK55" s="3" t="s">
        <v>201</v>
      </c>
      <c r="CL55" s="3" t="s">
        <v>201</v>
      </c>
      <c r="CM55" s="3" t="s">
        <v>201</v>
      </c>
      <c r="CN55" s="3" t="s">
        <v>201</v>
      </c>
      <c r="CO55" s="3" t="s">
        <v>201</v>
      </c>
      <c r="CP55" s="3" t="s">
        <v>201</v>
      </c>
      <c r="CQ55" s="3" t="s">
        <v>201</v>
      </c>
      <c r="CR55" s="3" t="s">
        <v>201</v>
      </c>
      <c r="CS55" s="3" t="s">
        <v>201</v>
      </c>
      <c r="CT55" s="3" t="s">
        <v>201</v>
      </c>
      <c r="CU55" s="3" t="s">
        <v>201</v>
      </c>
      <c r="CV55" s="3" t="s">
        <v>201</v>
      </c>
      <c r="CW55" s="3" t="s">
        <v>201</v>
      </c>
      <c r="CX55" s="3" t="s">
        <v>201</v>
      </c>
      <c r="CY55" s="3" t="s">
        <v>201</v>
      </c>
      <c r="CZ55" s="3" t="s">
        <v>201</v>
      </c>
      <c r="DA55" s="3" t="s">
        <v>201</v>
      </c>
      <c r="DB55" s="3" t="s">
        <v>201</v>
      </c>
      <c r="DC55" s="3" t="s">
        <v>201</v>
      </c>
      <c r="DD55" s="3" t="s">
        <v>201</v>
      </c>
      <c r="DE55" s="3" t="s">
        <v>201</v>
      </c>
      <c r="DF55" s="3" t="s">
        <v>201</v>
      </c>
      <c r="DG55" s="3" t="s">
        <v>201</v>
      </c>
      <c r="DH55" s="3" t="s">
        <v>201</v>
      </c>
      <c r="DI55" s="3" t="s">
        <v>201</v>
      </c>
      <c r="DJ55" s="3" t="s">
        <v>201</v>
      </c>
      <c r="DK55" s="3" t="s">
        <v>201</v>
      </c>
      <c r="DL55" s="3" t="s">
        <v>201</v>
      </c>
      <c r="DM55" s="3" t="s">
        <v>201</v>
      </c>
      <c r="DN55" s="3" t="s">
        <v>201</v>
      </c>
      <c r="DO55" s="3" t="s">
        <v>201</v>
      </c>
      <c r="DP55" s="3" t="s">
        <v>201</v>
      </c>
      <c r="DQ55" s="3" t="s">
        <v>201</v>
      </c>
      <c r="DR55">
        <f t="shared" si="0"/>
        <v>2019</v>
      </c>
    </row>
    <row r="56" spans="1:122" x14ac:dyDescent="0.35">
      <c r="A56" s="1">
        <f t="shared" si="1"/>
        <v>43647</v>
      </c>
      <c r="B56" s="2">
        <v>243</v>
      </c>
      <c r="C56" s="2">
        <v>98</v>
      </c>
      <c r="D56" s="2">
        <v>191</v>
      </c>
      <c r="E56" s="2">
        <v>83</v>
      </c>
      <c r="F56" s="2">
        <v>47</v>
      </c>
      <c r="G56" s="2">
        <v>49</v>
      </c>
      <c r="H56" s="2">
        <v>40</v>
      </c>
      <c r="I56" s="2">
        <v>39</v>
      </c>
      <c r="J56" s="2">
        <v>30</v>
      </c>
      <c r="K56" s="2">
        <v>37</v>
      </c>
      <c r="L56" s="2">
        <v>26</v>
      </c>
      <c r="M56" s="2">
        <v>22</v>
      </c>
      <c r="N56" s="3">
        <v>22</v>
      </c>
      <c r="O56" s="3">
        <v>21</v>
      </c>
      <c r="P56" s="3">
        <v>15</v>
      </c>
      <c r="Q56" s="3">
        <v>15</v>
      </c>
      <c r="R56" s="3">
        <v>25</v>
      </c>
      <c r="S56" s="3">
        <v>14</v>
      </c>
      <c r="T56" s="3">
        <v>7</v>
      </c>
      <c r="U56" s="3">
        <v>8</v>
      </c>
      <c r="V56" s="3">
        <v>15</v>
      </c>
      <c r="W56" s="3">
        <v>3</v>
      </c>
      <c r="X56" s="3">
        <v>7</v>
      </c>
      <c r="Y56" s="3">
        <v>6</v>
      </c>
      <c r="Z56" s="3">
        <v>7</v>
      </c>
      <c r="AA56" s="3">
        <v>2</v>
      </c>
      <c r="AB56" s="3">
        <v>7</v>
      </c>
      <c r="AC56" s="3">
        <v>12</v>
      </c>
      <c r="AD56" s="3">
        <v>7</v>
      </c>
      <c r="AE56" s="3">
        <v>6</v>
      </c>
      <c r="AF56" s="3">
        <v>3</v>
      </c>
      <c r="AG56" s="3">
        <v>1</v>
      </c>
      <c r="AH56" s="3">
        <v>4</v>
      </c>
      <c r="AI56" s="3">
        <v>4</v>
      </c>
      <c r="AJ56" s="3">
        <v>10</v>
      </c>
      <c r="AK56" s="3">
        <v>6</v>
      </c>
      <c r="AL56" s="3">
        <v>7</v>
      </c>
      <c r="AM56" s="3">
        <v>2</v>
      </c>
      <c r="AN56" s="3">
        <v>5</v>
      </c>
      <c r="AO56" s="3">
        <v>1</v>
      </c>
      <c r="AP56" s="3">
        <v>6</v>
      </c>
      <c r="AQ56" s="3">
        <v>4</v>
      </c>
      <c r="AR56" s="3">
        <v>2</v>
      </c>
      <c r="AS56" s="3">
        <v>2</v>
      </c>
      <c r="AT56" s="3">
        <v>1</v>
      </c>
      <c r="AU56" s="3">
        <v>2</v>
      </c>
      <c r="AV56" s="3">
        <v>1</v>
      </c>
      <c r="AW56" s="3">
        <v>2</v>
      </c>
      <c r="AX56" s="3">
        <v>3</v>
      </c>
      <c r="AY56" s="3">
        <v>0</v>
      </c>
      <c r="AZ56" s="3">
        <v>1</v>
      </c>
      <c r="BA56" s="3">
        <v>1</v>
      </c>
      <c r="BB56" s="3">
        <v>1</v>
      </c>
      <c r="BC56" s="3">
        <v>1</v>
      </c>
      <c r="BD56" s="3">
        <v>2</v>
      </c>
      <c r="BE56" s="3">
        <v>0</v>
      </c>
      <c r="BF56" s="3">
        <v>0</v>
      </c>
      <c r="BG56" s="3">
        <v>1</v>
      </c>
      <c r="BH56" s="3">
        <v>0</v>
      </c>
      <c r="BI56" s="3">
        <v>3</v>
      </c>
      <c r="BJ56" s="3">
        <v>2</v>
      </c>
      <c r="BK56" s="3">
        <v>1</v>
      </c>
      <c r="BL56" s="3">
        <v>0</v>
      </c>
      <c r="BM56" s="3">
        <v>1</v>
      </c>
      <c r="BN56" s="3">
        <v>0</v>
      </c>
      <c r="BO56" s="3">
        <v>0</v>
      </c>
      <c r="BP56" s="3" t="s">
        <v>201</v>
      </c>
      <c r="BQ56" s="3" t="s">
        <v>201</v>
      </c>
      <c r="BR56" s="3" t="s">
        <v>201</v>
      </c>
      <c r="BS56" s="3" t="s">
        <v>201</v>
      </c>
      <c r="BT56" s="3" t="s">
        <v>201</v>
      </c>
      <c r="BU56" s="3" t="s">
        <v>201</v>
      </c>
      <c r="BV56" s="3" t="s">
        <v>201</v>
      </c>
      <c r="BW56" s="3" t="s">
        <v>201</v>
      </c>
      <c r="BX56" s="3" t="s">
        <v>201</v>
      </c>
      <c r="BY56" s="3" t="s">
        <v>201</v>
      </c>
      <c r="BZ56" s="3" t="s">
        <v>201</v>
      </c>
      <c r="CA56" s="3" t="s">
        <v>201</v>
      </c>
      <c r="CB56" s="3" t="s">
        <v>201</v>
      </c>
      <c r="CC56" s="3" t="s">
        <v>201</v>
      </c>
      <c r="CD56" s="3" t="s">
        <v>201</v>
      </c>
      <c r="CE56" s="3" t="s">
        <v>201</v>
      </c>
      <c r="CF56" s="3" t="s">
        <v>201</v>
      </c>
      <c r="CG56" s="3" t="s">
        <v>201</v>
      </c>
      <c r="CH56" s="3" t="s">
        <v>201</v>
      </c>
      <c r="CI56" s="3" t="s">
        <v>201</v>
      </c>
      <c r="CJ56" s="3" t="s">
        <v>201</v>
      </c>
      <c r="CK56" s="3" t="s">
        <v>201</v>
      </c>
      <c r="CL56" s="3" t="s">
        <v>201</v>
      </c>
      <c r="CM56" s="3" t="s">
        <v>201</v>
      </c>
      <c r="CN56" s="3" t="s">
        <v>201</v>
      </c>
      <c r="CO56" s="3" t="s">
        <v>201</v>
      </c>
      <c r="CP56" s="3" t="s">
        <v>201</v>
      </c>
      <c r="CQ56" s="3" t="s">
        <v>201</v>
      </c>
      <c r="CR56" s="3" t="s">
        <v>201</v>
      </c>
      <c r="CS56" s="3" t="s">
        <v>201</v>
      </c>
      <c r="CT56" s="3" t="s">
        <v>201</v>
      </c>
      <c r="CU56" s="3" t="s">
        <v>201</v>
      </c>
      <c r="CV56" s="3" t="s">
        <v>201</v>
      </c>
      <c r="CW56" s="3" t="s">
        <v>201</v>
      </c>
      <c r="CX56" s="3" t="s">
        <v>201</v>
      </c>
      <c r="CY56" s="3" t="s">
        <v>201</v>
      </c>
      <c r="CZ56" s="3" t="s">
        <v>201</v>
      </c>
      <c r="DA56" s="3" t="s">
        <v>201</v>
      </c>
      <c r="DB56" s="3" t="s">
        <v>201</v>
      </c>
      <c r="DC56" s="3" t="s">
        <v>201</v>
      </c>
      <c r="DD56" s="3" t="s">
        <v>201</v>
      </c>
      <c r="DE56" s="3" t="s">
        <v>201</v>
      </c>
      <c r="DF56" s="3" t="s">
        <v>201</v>
      </c>
      <c r="DG56" s="3" t="s">
        <v>201</v>
      </c>
      <c r="DH56" s="3" t="s">
        <v>201</v>
      </c>
      <c r="DI56" s="3" t="s">
        <v>201</v>
      </c>
      <c r="DJ56" s="3" t="s">
        <v>201</v>
      </c>
      <c r="DK56" s="3" t="s">
        <v>201</v>
      </c>
      <c r="DL56" s="3" t="s">
        <v>201</v>
      </c>
      <c r="DM56" s="3" t="s">
        <v>201</v>
      </c>
      <c r="DN56" s="3" t="s">
        <v>201</v>
      </c>
      <c r="DO56" s="3" t="s">
        <v>201</v>
      </c>
      <c r="DP56" s="3" t="s">
        <v>201</v>
      </c>
      <c r="DQ56" s="3" t="s">
        <v>201</v>
      </c>
      <c r="DR56">
        <f t="shared" si="0"/>
        <v>2019</v>
      </c>
    </row>
    <row r="57" spans="1:122" x14ac:dyDescent="0.35">
      <c r="A57" s="1">
        <f t="shared" si="1"/>
        <v>43678</v>
      </c>
      <c r="B57" s="2">
        <v>57</v>
      </c>
      <c r="C57" s="2">
        <v>95</v>
      </c>
      <c r="D57" s="2">
        <v>94</v>
      </c>
      <c r="E57" s="2">
        <v>50</v>
      </c>
      <c r="F57" s="2">
        <v>29</v>
      </c>
      <c r="G57" s="2">
        <v>36</v>
      </c>
      <c r="H57" s="2">
        <v>16</v>
      </c>
      <c r="I57" s="2">
        <v>20</v>
      </c>
      <c r="J57" s="2">
        <v>18</v>
      </c>
      <c r="K57" s="2">
        <v>9</v>
      </c>
      <c r="L57" s="2">
        <v>16</v>
      </c>
      <c r="M57" s="2">
        <v>11</v>
      </c>
      <c r="N57" s="3">
        <v>18</v>
      </c>
      <c r="O57" s="3">
        <v>11</v>
      </c>
      <c r="P57" s="3">
        <v>10</v>
      </c>
      <c r="Q57" s="3">
        <v>9</v>
      </c>
      <c r="R57" s="3">
        <v>4</v>
      </c>
      <c r="S57" s="3">
        <v>5</v>
      </c>
      <c r="T57" s="3">
        <v>5</v>
      </c>
      <c r="U57" s="3">
        <v>5</v>
      </c>
      <c r="V57" s="3">
        <v>4</v>
      </c>
      <c r="W57" s="3">
        <v>5</v>
      </c>
      <c r="X57" s="3">
        <v>6</v>
      </c>
      <c r="Y57" s="3">
        <v>4</v>
      </c>
      <c r="Z57" s="3">
        <v>5</v>
      </c>
      <c r="AA57" s="3">
        <v>3</v>
      </c>
      <c r="AB57" s="3">
        <v>3</v>
      </c>
      <c r="AC57" s="3">
        <v>3</v>
      </c>
      <c r="AD57" s="3">
        <v>1</v>
      </c>
      <c r="AE57" s="3">
        <v>1</v>
      </c>
      <c r="AF57" s="3">
        <v>3</v>
      </c>
      <c r="AG57" s="3">
        <v>2</v>
      </c>
      <c r="AH57" s="3">
        <v>0</v>
      </c>
      <c r="AI57" s="3">
        <v>3</v>
      </c>
      <c r="AJ57" s="3">
        <v>1</v>
      </c>
      <c r="AK57" s="3">
        <v>3</v>
      </c>
      <c r="AL57" s="3">
        <v>1</v>
      </c>
      <c r="AM57" s="3">
        <v>1</v>
      </c>
      <c r="AN57" s="3">
        <v>3</v>
      </c>
      <c r="AO57" s="3">
        <v>0</v>
      </c>
      <c r="AP57" s="3">
        <v>1</v>
      </c>
      <c r="AQ57" s="3">
        <v>2</v>
      </c>
      <c r="AR57" s="3">
        <v>2</v>
      </c>
      <c r="AS57" s="3">
        <v>1</v>
      </c>
      <c r="AT57" s="3">
        <v>4</v>
      </c>
      <c r="AU57" s="3">
        <v>2</v>
      </c>
      <c r="AV57" s="3">
        <v>0</v>
      </c>
      <c r="AW57" s="3">
        <v>0</v>
      </c>
      <c r="AX57" s="3">
        <v>1</v>
      </c>
      <c r="AY57" s="3">
        <v>1</v>
      </c>
      <c r="AZ57" s="3">
        <v>2</v>
      </c>
      <c r="BA57" s="3">
        <v>0</v>
      </c>
      <c r="BB57" s="3">
        <v>1</v>
      </c>
      <c r="BC57" s="3">
        <v>1</v>
      </c>
      <c r="BD57" s="3">
        <v>0</v>
      </c>
      <c r="BE57" s="3">
        <v>0</v>
      </c>
      <c r="BF57" s="3">
        <v>0</v>
      </c>
      <c r="BG57" s="3">
        <v>0</v>
      </c>
      <c r="BH57" s="3">
        <v>2</v>
      </c>
      <c r="BI57" s="3">
        <v>0</v>
      </c>
      <c r="BJ57" s="3">
        <v>2</v>
      </c>
      <c r="BK57" s="3">
        <v>1</v>
      </c>
      <c r="BL57" s="3">
        <v>0</v>
      </c>
      <c r="BM57" s="3">
        <v>0</v>
      </c>
      <c r="BN57" s="3">
        <v>0</v>
      </c>
      <c r="BO57" s="3" t="s">
        <v>201</v>
      </c>
      <c r="BP57" s="3" t="s">
        <v>201</v>
      </c>
      <c r="BQ57" s="3" t="s">
        <v>201</v>
      </c>
      <c r="BR57" s="3" t="s">
        <v>201</v>
      </c>
      <c r="BS57" s="3" t="s">
        <v>201</v>
      </c>
      <c r="BT57" s="3" t="s">
        <v>201</v>
      </c>
      <c r="BU57" s="3" t="s">
        <v>201</v>
      </c>
      <c r="BV57" s="3" t="s">
        <v>201</v>
      </c>
      <c r="BW57" s="3" t="s">
        <v>201</v>
      </c>
      <c r="BX57" s="3" t="s">
        <v>201</v>
      </c>
      <c r="BY57" s="3" t="s">
        <v>201</v>
      </c>
      <c r="BZ57" s="3" t="s">
        <v>201</v>
      </c>
      <c r="CA57" s="3" t="s">
        <v>201</v>
      </c>
      <c r="CB57" s="3" t="s">
        <v>201</v>
      </c>
      <c r="CC57" s="3" t="s">
        <v>201</v>
      </c>
      <c r="CD57" s="3" t="s">
        <v>201</v>
      </c>
      <c r="CE57" s="3" t="s">
        <v>201</v>
      </c>
      <c r="CF57" s="3" t="s">
        <v>201</v>
      </c>
      <c r="CG57" s="3" t="s">
        <v>201</v>
      </c>
      <c r="CH57" s="3" t="s">
        <v>201</v>
      </c>
      <c r="CI57" s="3" t="s">
        <v>201</v>
      </c>
      <c r="CJ57" s="3" t="s">
        <v>201</v>
      </c>
      <c r="CK57" s="3" t="s">
        <v>201</v>
      </c>
      <c r="CL57" s="3" t="s">
        <v>201</v>
      </c>
      <c r="CM57" s="3" t="s">
        <v>201</v>
      </c>
      <c r="CN57" s="3" t="s">
        <v>201</v>
      </c>
      <c r="CO57" s="3" t="s">
        <v>201</v>
      </c>
      <c r="CP57" s="3" t="s">
        <v>201</v>
      </c>
      <c r="CQ57" s="3" t="s">
        <v>201</v>
      </c>
      <c r="CR57" s="3" t="s">
        <v>201</v>
      </c>
      <c r="CS57" s="3" t="s">
        <v>201</v>
      </c>
      <c r="CT57" s="3" t="s">
        <v>201</v>
      </c>
      <c r="CU57" s="3" t="s">
        <v>201</v>
      </c>
      <c r="CV57" s="3" t="s">
        <v>201</v>
      </c>
      <c r="CW57" s="3" t="s">
        <v>201</v>
      </c>
      <c r="CX57" s="3" t="s">
        <v>201</v>
      </c>
      <c r="CY57" s="3" t="s">
        <v>201</v>
      </c>
      <c r="CZ57" s="3" t="s">
        <v>201</v>
      </c>
      <c r="DA57" s="3" t="s">
        <v>201</v>
      </c>
      <c r="DB57" s="3" t="s">
        <v>201</v>
      </c>
      <c r="DC57" s="3" t="s">
        <v>201</v>
      </c>
      <c r="DD57" s="3" t="s">
        <v>201</v>
      </c>
      <c r="DE57" s="3" t="s">
        <v>201</v>
      </c>
      <c r="DF57" s="3" t="s">
        <v>201</v>
      </c>
      <c r="DG57" s="3" t="s">
        <v>201</v>
      </c>
      <c r="DH57" s="3" t="s">
        <v>201</v>
      </c>
      <c r="DI57" s="3" t="s">
        <v>201</v>
      </c>
      <c r="DJ57" s="3" t="s">
        <v>201</v>
      </c>
      <c r="DK57" s="3" t="s">
        <v>201</v>
      </c>
      <c r="DL57" s="3" t="s">
        <v>201</v>
      </c>
      <c r="DM57" s="3" t="s">
        <v>201</v>
      </c>
      <c r="DN57" s="3" t="s">
        <v>201</v>
      </c>
      <c r="DO57" s="3" t="s">
        <v>201</v>
      </c>
      <c r="DP57" s="3" t="s">
        <v>201</v>
      </c>
      <c r="DQ57" s="3" t="s">
        <v>201</v>
      </c>
      <c r="DR57">
        <f t="shared" si="0"/>
        <v>2019</v>
      </c>
    </row>
    <row r="58" spans="1:122" x14ac:dyDescent="0.35">
      <c r="A58" s="1">
        <f t="shared" si="1"/>
        <v>43709</v>
      </c>
      <c r="B58" s="2">
        <v>66</v>
      </c>
      <c r="C58" s="2">
        <v>75</v>
      </c>
      <c r="D58" s="2">
        <v>67</v>
      </c>
      <c r="E58" s="2">
        <v>43</v>
      </c>
      <c r="F58" s="2">
        <v>28</v>
      </c>
      <c r="G58" s="2">
        <v>26</v>
      </c>
      <c r="H58" s="2">
        <v>27</v>
      </c>
      <c r="I58" s="2">
        <v>21</v>
      </c>
      <c r="J58" s="2">
        <v>9</v>
      </c>
      <c r="K58" s="2">
        <v>6</v>
      </c>
      <c r="L58" s="2">
        <v>5</v>
      </c>
      <c r="M58" s="2">
        <v>9</v>
      </c>
      <c r="N58" s="3">
        <v>13</v>
      </c>
      <c r="O58" s="3">
        <v>10</v>
      </c>
      <c r="P58" s="3">
        <v>22</v>
      </c>
      <c r="Q58" s="3">
        <v>9</v>
      </c>
      <c r="R58" s="3">
        <v>5</v>
      </c>
      <c r="S58" s="3">
        <v>4</v>
      </c>
      <c r="T58" s="3">
        <v>4</v>
      </c>
      <c r="U58" s="3">
        <v>3</v>
      </c>
      <c r="V58" s="3">
        <v>7</v>
      </c>
      <c r="W58" s="3">
        <v>6</v>
      </c>
      <c r="X58" s="3">
        <v>4</v>
      </c>
      <c r="Y58" s="3">
        <v>6</v>
      </c>
      <c r="Z58" s="3">
        <v>2</v>
      </c>
      <c r="AA58" s="3">
        <v>0</v>
      </c>
      <c r="AB58" s="3">
        <v>1</v>
      </c>
      <c r="AC58" s="3">
        <v>3</v>
      </c>
      <c r="AD58" s="3">
        <v>1</v>
      </c>
      <c r="AE58" s="3">
        <v>1</v>
      </c>
      <c r="AF58" s="3">
        <v>4</v>
      </c>
      <c r="AG58" s="3">
        <v>3</v>
      </c>
      <c r="AH58" s="3">
        <v>7</v>
      </c>
      <c r="AI58" s="3">
        <v>2</v>
      </c>
      <c r="AJ58" s="3">
        <v>3</v>
      </c>
      <c r="AK58" s="3">
        <v>8</v>
      </c>
      <c r="AL58" s="3">
        <v>1</v>
      </c>
      <c r="AM58" s="3">
        <v>0</v>
      </c>
      <c r="AN58" s="3">
        <v>1</v>
      </c>
      <c r="AO58" s="3">
        <v>2</v>
      </c>
      <c r="AP58" s="3">
        <v>4</v>
      </c>
      <c r="AQ58" s="3">
        <v>2</v>
      </c>
      <c r="AR58" s="3">
        <v>1</v>
      </c>
      <c r="AS58" s="3">
        <v>0</v>
      </c>
      <c r="AT58" s="3">
        <v>1</v>
      </c>
      <c r="AU58" s="3">
        <v>3</v>
      </c>
      <c r="AV58" s="3">
        <v>0</v>
      </c>
      <c r="AW58" s="3">
        <v>1</v>
      </c>
      <c r="AX58" s="3">
        <v>1</v>
      </c>
      <c r="AY58" s="3">
        <v>1</v>
      </c>
      <c r="AZ58" s="3">
        <v>3</v>
      </c>
      <c r="BA58" s="3">
        <v>3</v>
      </c>
      <c r="BB58" s="3">
        <v>1</v>
      </c>
      <c r="BC58" s="3">
        <v>0</v>
      </c>
      <c r="BD58" s="3">
        <v>0</v>
      </c>
      <c r="BE58" s="3">
        <v>2</v>
      </c>
      <c r="BF58" s="3">
        <v>1</v>
      </c>
      <c r="BG58" s="3">
        <v>1</v>
      </c>
      <c r="BH58" s="3">
        <v>2</v>
      </c>
      <c r="BI58" s="3">
        <v>0</v>
      </c>
      <c r="BJ58" s="3">
        <v>1</v>
      </c>
      <c r="BK58" s="3">
        <v>0</v>
      </c>
      <c r="BL58" s="3">
        <v>0</v>
      </c>
      <c r="BM58" s="3">
        <v>1</v>
      </c>
      <c r="BN58" s="3" t="s">
        <v>201</v>
      </c>
      <c r="BO58" s="3" t="s">
        <v>201</v>
      </c>
      <c r="BP58" s="3" t="s">
        <v>201</v>
      </c>
      <c r="BQ58" s="3" t="s">
        <v>201</v>
      </c>
      <c r="BR58" s="3" t="s">
        <v>201</v>
      </c>
      <c r="BS58" s="3" t="s">
        <v>201</v>
      </c>
      <c r="BT58" s="3" t="s">
        <v>201</v>
      </c>
      <c r="BU58" s="3" t="s">
        <v>201</v>
      </c>
      <c r="BV58" s="3" t="s">
        <v>201</v>
      </c>
      <c r="BW58" s="3" t="s">
        <v>201</v>
      </c>
      <c r="BX58" s="3" t="s">
        <v>201</v>
      </c>
      <c r="BY58" s="3" t="s">
        <v>201</v>
      </c>
      <c r="BZ58" s="3" t="s">
        <v>201</v>
      </c>
      <c r="CA58" s="3" t="s">
        <v>201</v>
      </c>
      <c r="CB58" s="3" t="s">
        <v>201</v>
      </c>
      <c r="CC58" s="3" t="s">
        <v>201</v>
      </c>
      <c r="CD58" s="3" t="s">
        <v>201</v>
      </c>
      <c r="CE58" s="3" t="s">
        <v>201</v>
      </c>
      <c r="CF58" s="3" t="s">
        <v>201</v>
      </c>
      <c r="CG58" s="3" t="s">
        <v>201</v>
      </c>
      <c r="CH58" s="3" t="s">
        <v>201</v>
      </c>
      <c r="CI58" s="3" t="s">
        <v>201</v>
      </c>
      <c r="CJ58" s="3" t="s">
        <v>201</v>
      </c>
      <c r="CK58" s="3" t="s">
        <v>201</v>
      </c>
      <c r="CL58" s="3" t="s">
        <v>201</v>
      </c>
      <c r="CM58" s="3" t="s">
        <v>201</v>
      </c>
      <c r="CN58" s="3" t="s">
        <v>201</v>
      </c>
      <c r="CO58" s="3" t="s">
        <v>201</v>
      </c>
      <c r="CP58" s="3" t="s">
        <v>201</v>
      </c>
      <c r="CQ58" s="3" t="s">
        <v>201</v>
      </c>
      <c r="CR58" s="3" t="s">
        <v>201</v>
      </c>
      <c r="CS58" s="3" t="s">
        <v>201</v>
      </c>
      <c r="CT58" s="3" t="s">
        <v>201</v>
      </c>
      <c r="CU58" s="3" t="s">
        <v>201</v>
      </c>
      <c r="CV58" s="3" t="s">
        <v>201</v>
      </c>
      <c r="CW58" s="3" t="s">
        <v>201</v>
      </c>
      <c r="CX58" s="3" t="s">
        <v>201</v>
      </c>
      <c r="CY58" s="3" t="s">
        <v>201</v>
      </c>
      <c r="CZ58" s="3" t="s">
        <v>201</v>
      </c>
      <c r="DA58" s="3" t="s">
        <v>201</v>
      </c>
      <c r="DB58" s="3" t="s">
        <v>201</v>
      </c>
      <c r="DC58" s="3" t="s">
        <v>201</v>
      </c>
      <c r="DD58" s="3" t="s">
        <v>201</v>
      </c>
      <c r="DE58" s="3" t="s">
        <v>201</v>
      </c>
      <c r="DF58" s="3" t="s">
        <v>201</v>
      </c>
      <c r="DG58" s="3" t="s">
        <v>201</v>
      </c>
      <c r="DH58" s="3" t="s">
        <v>201</v>
      </c>
      <c r="DI58" s="3" t="s">
        <v>201</v>
      </c>
      <c r="DJ58" s="3" t="s">
        <v>201</v>
      </c>
      <c r="DK58" s="3" t="s">
        <v>201</v>
      </c>
      <c r="DL58" s="3" t="s">
        <v>201</v>
      </c>
      <c r="DM58" s="3" t="s">
        <v>201</v>
      </c>
      <c r="DN58" s="3" t="s">
        <v>201</v>
      </c>
      <c r="DO58" s="3" t="s">
        <v>201</v>
      </c>
      <c r="DP58" s="3" t="s">
        <v>201</v>
      </c>
      <c r="DQ58" s="3" t="s">
        <v>201</v>
      </c>
      <c r="DR58">
        <f t="shared" si="0"/>
        <v>2019</v>
      </c>
    </row>
    <row r="59" spans="1:122" x14ac:dyDescent="0.35">
      <c r="A59" s="1">
        <f t="shared" si="1"/>
        <v>43739</v>
      </c>
      <c r="B59" s="2">
        <v>68</v>
      </c>
      <c r="C59" s="2">
        <v>99</v>
      </c>
      <c r="D59" s="2">
        <v>84</v>
      </c>
      <c r="E59" s="2">
        <v>61</v>
      </c>
      <c r="F59" s="2">
        <v>26</v>
      </c>
      <c r="G59" s="2">
        <v>36</v>
      </c>
      <c r="H59" s="2">
        <v>24</v>
      </c>
      <c r="I59" s="2">
        <v>22</v>
      </c>
      <c r="J59" s="2">
        <v>17</v>
      </c>
      <c r="K59" s="2">
        <v>21</v>
      </c>
      <c r="L59" s="2">
        <v>19</v>
      </c>
      <c r="M59" s="2">
        <v>7</v>
      </c>
      <c r="N59" s="3">
        <v>14</v>
      </c>
      <c r="O59" s="3">
        <v>38</v>
      </c>
      <c r="P59" s="3">
        <v>8</v>
      </c>
      <c r="Q59" s="3">
        <v>10</v>
      </c>
      <c r="R59" s="3">
        <v>9</v>
      </c>
      <c r="S59" s="3">
        <v>4</v>
      </c>
      <c r="T59" s="3">
        <v>3</v>
      </c>
      <c r="U59" s="3">
        <v>7</v>
      </c>
      <c r="V59" s="3">
        <v>8</v>
      </c>
      <c r="W59" s="3">
        <v>5</v>
      </c>
      <c r="X59" s="3">
        <v>5</v>
      </c>
      <c r="Y59" s="3">
        <v>11</v>
      </c>
      <c r="Z59" s="3">
        <v>5</v>
      </c>
      <c r="AA59" s="3">
        <v>3</v>
      </c>
      <c r="AB59" s="3">
        <v>8</v>
      </c>
      <c r="AC59" s="3">
        <v>3</v>
      </c>
      <c r="AD59" s="3">
        <v>3</v>
      </c>
      <c r="AE59" s="3">
        <v>6</v>
      </c>
      <c r="AF59" s="3">
        <v>6</v>
      </c>
      <c r="AG59" s="3">
        <v>3</v>
      </c>
      <c r="AH59" s="3">
        <v>6</v>
      </c>
      <c r="AI59" s="3">
        <v>2</v>
      </c>
      <c r="AJ59" s="3">
        <v>3</v>
      </c>
      <c r="AK59" s="3">
        <v>1</v>
      </c>
      <c r="AL59" s="3">
        <v>4</v>
      </c>
      <c r="AM59" s="3">
        <v>4</v>
      </c>
      <c r="AN59" s="3">
        <v>0</v>
      </c>
      <c r="AO59" s="3">
        <v>0</v>
      </c>
      <c r="AP59" s="3">
        <v>3</v>
      </c>
      <c r="AQ59" s="3">
        <v>1</v>
      </c>
      <c r="AR59" s="3">
        <v>2</v>
      </c>
      <c r="AS59" s="3">
        <v>1</v>
      </c>
      <c r="AT59" s="3">
        <v>1</v>
      </c>
      <c r="AU59" s="3">
        <v>3</v>
      </c>
      <c r="AV59" s="3">
        <v>0</v>
      </c>
      <c r="AW59" s="3">
        <v>3</v>
      </c>
      <c r="AX59" s="3">
        <v>1</v>
      </c>
      <c r="AY59" s="3">
        <v>2</v>
      </c>
      <c r="AZ59" s="3">
        <v>2</v>
      </c>
      <c r="BA59" s="3">
        <v>1</v>
      </c>
      <c r="BB59" s="3">
        <v>0</v>
      </c>
      <c r="BC59" s="3">
        <v>1</v>
      </c>
      <c r="BD59" s="3">
        <v>3</v>
      </c>
      <c r="BE59" s="3">
        <v>2</v>
      </c>
      <c r="BF59" s="3">
        <v>2</v>
      </c>
      <c r="BG59" s="3">
        <v>1</v>
      </c>
      <c r="BH59" s="3">
        <v>5</v>
      </c>
      <c r="BI59" s="3">
        <v>6</v>
      </c>
      <c r="BJ59" s="3">
        <v>2</v>
      </c>
      <c r="BK59" s="3">
        <v>1</v>
      </c>
      <c r="BL59" s="3">
        <v>0</v>
      </c>
      <c r="BM59" s="3" t="s">
        <v>201</v>
      </c>
      <c r="BN59" s="3" t="s">
        <v>201</v>
      </c>
      <c r="BO59" s="3" t="s">
        <v>201</v>
      </c>
      <c r="BP59" s="3" t="s">
        <v>201</v>
      </c>
      <c r="BQ59" s="3" t="s">
        <v>201</v>
      </c>
      <c r="BR59" s="3" t="s">
        <v>201</v>
      </c>
      <c r="BS59" s="3" t="s">
        <v>201</v>
      </c>
      <c r="BT59" s="3" t="s">
        <v>201</v>
      </c>
      <c r="BU59" s="3" t="s">
        <v>201</v>
      </c>
      <c r="BV59" s="3" t="s">
        <v>201</v>
      </c>
      <c r="BW59" s="3" t="s">
        <v>201</v>
      </c>
      <c r="BX59" s="3" t="s">
        <v>201</v>
      </c>
      <c r="BY59" s="3" t="s">
        <v>201</v>
      </c>
      <c r="BZ59" s="3" t="s">
        <v>201</v>
      </c>
      <c r="CA59" s="3" t="s">
        <v>201</v>
      </c>
      <c r="CB59" s="3" t="s">
        <v>201</v>
      </c>
      <c r="CC59" s="3" t="s">
        <v>201</v>
      </c>
      <c r="CD59" s="3" t="s">
        <v>201</v>
      </c>
      <c r="CE59" s="3" t="s">
        <v>201</v>
      </c>
      <c r="CF59" s="3" t="s">
        <v>201</v>
      </c>
      <c r="CG59" s="3" t="s">
        <v>201</v>
      </c>
      <c r="CH59" s="3" t="s">
        <v>201</v>
      </c>
      <c r="CI59" s="3" t="s">
        <v>201</v>
      </c>
      <c r="CJ59" s="3" t="s">
        <v>201</v>
      </c>
      <c r="CK59" s="3" t="s">
        <v>201</v>
      </c>
      <c r="CL59" s="3" t="s">
        <v>201</v>
      </c>
      <c r="CM59" s="3" t="s">
        <v>201</v>
      </c>
      <c r="CN59" s="3" t="s">
        <v>201</v>
      </c>
      <c r="CO59" s="3" t="s">
        <v>201</v>
      </c>
      <c r="CP59" s="3" t="s">
        <v>201</v>
      </c>
      <c r="CQ59" s="3" t="s">
        <v>201</v>
      </c>
      <c r="CR59" s="3" t="s">
        <v>201</v>
      </c>
      <c r="CS59" s="3" t="s">
        <v>201</v>
      </c>
      <c r="CT59" s="3" t="s">
        <v>201</v>
      </c>
      <c r="CU59" s="3" t="s">
        <v>201</v>
      </c>
      <c r="CV59" s="3" t="s">
        <v>201</v>
      </c>
      <c r="CW59" s="3" t="s">
        <v>201</v>
      </c>
      <c r="CX59" s="3" t="s">
        <v>201</v>
      </c>
      <c r="CY59" s="3" t="s">
        <v>201</v>
      </c>
      <c r="CZ59" s="3" t="s">
        <v>201</v>
      </c>
      <c r="DA59" s="3" t="s">
        <v>201</v>
      </c>
      <c r="DB59" s="3" t="s">
        <v>201</v>
      </c>
      <c r="DC59" s="3" t="s">
        <v>201</v>
      </c>
      <c r="DD59" s="3" t="s">
        <v>201</v>
      </c>
      <c r="DE59" s="3" t="s">
        <v>201</v>
      </c>
      <c r="DF59" s="3" t="s">
        <v>201</v>
      </c>
      <c r="DG59" s="3" t="s">
        <v>201</v>
      </c>
      <c r="DH59" s="3" t="s">
        <v>201</v>
      </c>
      <c r="DI59" s="3" t="s">
        <v>201</v>
      </c>
      <c r="DJ59" s="3" t="s">
        <v>201</v>
      </c>
      <c r="DK59" s="3" t="s">
        <v>201</v>
      </c>
      <c r="DL59" s="3" t="s">
        <v>201</v>
      </c>
      <c r="DM59" s="3" t="s">
        <v>201</v>
      </c>
      <c r="DN59" s="3" t="s">
        <v>201</v>
      </c>
      <c r="DO59" s="3" t="s">
        <v>201</v>
      </c>
      <c r="DP59" s="3" t="s">
        <v>201</v>
      </c>
      <c r="DQ59" s="3" t="s">
        <v>201</v>
      </c>
      <c r="DR59">
        <f t="shared" si="0"/>
        <v>2019</v>
      </c>
    </row>
    <row r="60" spans="1:122" x14ac:dyDescent="0.35">
      <c r="A60" s="1">
        <f t="shared" si="1"/>
        <v>43770</v>
      </c>
      <c r="B60" s="2">
        <v>61</v>
      </c>
      <c r="C60" s="2">
        <v>95</v>
      </c>
      <c r="D60" s="2">
        <v>85</v>
      </c>
      <c r="E60" s="2">
        <v>45</v>
      </c>
      <c r="F60" s="2">
        <v>42</v>
      </c>
      <c r="G60" s="2">
        <v>35</v>
      </c>
      <c r="H60" s="2">
        <v>29</v>
      </c>
      <c r="I60" s="2">
        <v>20</v>
      </c>
      <c r="J60" s="2">
        <v>30</v>
      </c>
      <c r="K60" s="2">
        <v>25</v>
      </c>
      <c r="L60" s="2">
        <v>13</v>
      </c>
      <c r="M60" s="2">
        <v>21</v>
      </c>
      <c r="N60" s="3">
        <v>50</v>
      </c>
      <c r="O60" s="3">
        <v>14</v>
      </c>
      <c r="P60" s="3">
        <v>13</v>
      </c>
      <c r="Q60" s="3">
        <v>9</v>
      </c>
      <c r="R60" s="3">
        <v>6</v>
      </c>
      <c r="S60" s="3">
        <v>4</v>
      </c>
      <c r="T60" s="3">
        <v>9</v>
      </c>
      <c r="U60" s="3">
        <v>8</v>
      </c>
      <c r="V60" s="3">
        <v>3</v>
      </c>
      <c r="W60" s="3">
        <v>7</v>
      </c>
      <c r="X60" s="3">
        <v>5</v>
      </c>
      <c r="Y60" s="3">
        <v>9</v>
      </c>
      <c r="Z60" s="3">
        <v>5</v>
      </c>
      <c r="AA60" s="3">
        <v>4</v>
      </c>
      <c r="AB60" s="3">
        <v>2</v>
      </c>
      <c r="AC60" s="3">
        <v>7</v>
      </c>
      <c r="AD60" s="3">
        <v>6</v>
      </c>
      <c r="AE60" s="3">
        <v>1</v>
      </c>
      <c r="AF60" s="3">
        <v>2</v>
      </c>
      <c r="AG60" s="3">
        <v>4</v>
      </c>
      <c r="AH60" s="3">
        <v>7</v>
      </c>
      <c r="AI60" s="3">
        <v>3</v>
      </c>
      <c r="AJ60" s="3">
        <v>4</v>
      </c>
      <c r="AK60" s="3">
        <v>6</v>
      </c>
      <c r="AL60" s="3">
        <v>2</v>
      </c>
      <c r="AM60" s="3">
        <v>2</v>
      </c>
      <c r="AN60" s="3">
        <v>3</v>
      </c>
      <c r="AO60" s="3">
        <v>0</v>
      </c>
      <c r="AP60" s="3">
        <v>2</v>
      </c>
      <c r="AQ60" s="3">
        <v>0</v>
      </c>
      <c r="AR60" s="3">
        <v>5</v>
      </c>
      <c r="AS60" s="3">
        <v>7</v>
      </c>
      <c r="AT60" s="3">
        <v>4</v>
      </c>
      <c r="AU60" s="3">
        <v>4</v>
      </c>
      <c r="AV60" s="3">
        <v>0</v>
      </c>
      <c r="AW60" s="3">
        <v>1</v>
      </c>
      <c r="AX60" s="3">
        <v>4</v>
      </c>
      <c r="AY60" s="3">
        <v>3</v>
      </c>
      <c r="AZ60" s="3">
        <v>1</v>
      </c>
      <c r="BA60" s="3">
        <v>4</v>
      </c>
      <c r="BB60" s="3">
        <v>2</v>
      </c>
      <c r="BC60" s="3">
        <v>4</v>
      </c>
      <c r="BD60" s="3">
        <v>3</v>
      </c>
      <c r="BE60" s="3">
        <v>1</v>
      </c>
      <c r="BF60" s="3">
        <v>3</v>
      </c>
      <c r="BG60" s="3">
        <v>2</v>
      </c>
      <c r="BH60" s="3">
        <v>2</v>
      </c>
      <c r="BI60" s="3">
        <v>1</v>
      </c>
      <c r="BJ60" s="3">
        <v>0</v>
      </c>
      <c r="BK60" s="3">
        <v>0</v>
      </c>
      <c r="BL60" s="3" t="s">
        <v>201</v>
      </c>
      <c r="BM60" s="3" t="s">
        <v>201</v>
      </c>
      <c r="BN60" s="3" t="s">
        <v>201</v>
      </c>
      <c r="BO60" s="3" t="s">
        <v>201</v>
      </c>
      <c r="BP60" s="3" t="s">
        <v>201</v>
      </c>
      <c r="BQ60" s="3" t="s">
        <v>201</v>
      </c>
      <c r="BR60" s="3" t="s">
        <v>201</v>
      </c>
      <c r="BS60" s="3" t="s">
        <v>201</v>
      </c>
      <c r="BT60" s="3" t="s">
        <v>201</v>
      </c>
      <c r="BU60" s="3" t="s">
        <v>201</v>
      </c>
      <c r="BV60" s="3" t="s">
        <v>201</v>
      </c>
      <c r="BW60" s="3" t="s">
        <v>201</v>
      </c>
      <c r="BX60" s="3" t="s">
        <v>201</v>
      </c>
      <c r="BY60" s="3" t="s">
        <v>201</v>
      </c>
      <c r="BZ60" s="3" t="s">
        <v>201</v>
      </c>
      <c r="CA60" s="3" t="s">
        <v>201</v>
      </c>
      <c r="CB60" s="3" t="s">
        <v>201</v>
      </c>
      <c r="CC60" s="3" t="s">
        <v>201</v>
      </c>
      <c r="CD60" s="3" t="s">
        <v>201</v>
      </c>
      <c r="CE60" s="3" t="s">
        <v>201</v>
      </c>
      <c r="CF60" s="3" t="s">
        <v>201</v>
      </c>
      <c r="CG60" s="3" t="s">
        <v>201</v>
      </c>
      <c r="CH60" s="3" t="s">
        <v>201</v>
      </c>
      <c r="CI60" s="3" t="s">
        <v>201</v>
      </c>
      <c r="CJ60" s="3" t="s">
        <v>201</v>
      </c>
      <c r="CK60" s="3" t="s">
        <v>201</v>
      </c>
      <c r="CL60" s="3" t="s">
        <v>201</v>
      </c>
      <c r="CM60" s="3" t="s">
        <v>201</v>
      </c>
      <c r="CN60" s="3" t="s">
        <v>201</v>
      </c>
      <c r="CO60" s="3" t="s">
        <v>201</v>
      </c>
      <c r="CP60" s="3" t="s">
        <v>201</v>
      </c>
      <c r="CQ60" s="3" t="s">
        <v>201</v>
      </c>
      <c r="CR60" s="3" t="s">
        <v>201</v>
      </c>
      <c r="CS60" s="3" t="s">
        <v>201</v>
      </c>
      <c r="CT60" s="3" t="s">
        <v>201</v>
      </c>
      <c r="CU60" s="3" t="s">
        <v>201</v>
      </c>
      <c r="CV60" s="3" t="s">
        <v>201</v>
      </c>
      <c r="CW60" s="3" t="s">
        <v>201</v>
      </c>
      <c r="CX60" s="3" t="s">
        <v>201</v>
      </c>
      <c r="CY60" s="3" t="s">
        <v>201</v>
      </c>
      <c r="CZ60" s="3" t="s">
        <v>201</v>
      </c>
      <c r="DA60" s="3" t="s">
        <v>201</v>
      </c>
      <c r="DB60" s="3" t="s">
        <v>201</v>
      </c>
      <c r="DC60" s="3" t="s">
        <v>201</v>
      </c>
      <c r="DD60" s="3" t="s">
        <v>201</v>
      </c>
      <c r="DE60" s="3" t="s">
        <v>201</v>
      </c>
      <c r="DF60" s="3" t="s">
        <v>201</v>
      </c>
      <c r="DG60" s="3" t="s">
        <v>201</v>
      </c>
      <c r="DH60" s="3" t="s">
        <v>201</v>
      </c>
      <c r="DI60" s="3" t="s">
        <v>201</v>
      </c>
      <c r="DJ60" s="3" t="s">
        <v>201</v>
      </c>
      <c r="DK60" s="3" t="s">
        <v>201</v>
      </c>
      <c r="DL60" s="3" t="s">
        <v>201</v>
      </c>
      <c r="DM60" s="3" t="s">
        <v>201</v>
      </c>
      <c r="DN60" s="3" t="s">
        <v>201</v>
      </c>
      <c r="DO60" s="3" t="s">
        <v>201</v>
      </c>
      <c r="DP60" s="3" t="s">
        <v>201</v>
      </c>
      <c r="DQ60" s="3" t="s">
        <v>201</v>
      </c>
      <c r="DR60">
        <f t="shared" si="0"/>
        <v>2019</v>
      </c>
    </row>
    <row r="61" spans="1:122" x14ac:dyDescent="0.35">
      <c r="A61" s="1">
        <f t="shared" si="1"/>
        <v>43800</v>
      </c>
      <c r="B61" s="2">
        <v>67</v>
      </c>
      <c r="C61" s="2">
        <v>125</v>
      </c>
      <c r="D61" s="2">
        <v>68</v>
      </c>
      <c r="E61" s="2">
        <v>38</v>
      </c>
      <c r="F61" s="2">
        <v>31</v>
      </c>
      <c r="G61" s="2">
        <v>26</v>
      </c>
      <c r="H61" s="2">
        <v>27</v>
      </c>
      <c r="I61" s="2">
        <v>30</v>
      </c>
      <c r="J61" s="2">
        <v>20</v>
      </c>
      <c r="K61" s="2">
        <v>10</v>
      </c>
      <c r="L61" s="2">
        <v>6</v>
      </c>
      <c r="M61" s="2">
        <v>47</v>
      </c>
      <c r="N61" s="3">
        <v>12</v>
      </c>
      <c r="O61" s="3">
        <v>9</v>
      </c>
      <c r="P61" s="3">
        <v>16</v>
      </c>
      <c r="Q61" s="3">
        <v>4</v>
      </c>
      <c r="R61" s="3">
        <v>10</v>
      </c>
      <c r="S61" s="3">
        <v>7</v>
      </c>
      <c r="T61" s="3">
        <v>10</v>
      </c>
      <c r="U61" s="3">
        <v>5</v>
      </c>
      <c r="V61" s="3">
        <v>2</v>
      </c>
      <c r="W61" s="3">
        <v>5</v>
      </c>
      <c r="X61" s="3">
        <v>7</v>
      </c>
      <c r="Y61" s="3">
        <v>9</v>
      </c>
      <c r="Z61" s="3">
        <v>1</v>
      </c>
      <c r="AA61" s="3">
        <v>2</v>
      </c>
      <c r="AB61" s="3">
        <v>5</v>
      </c>
      <c r="AC61" s="3">
        <v>0</v>
      </c>
      <c r="AD61" s="3">
        <v>6</v>
      </c>
      <c r="AE61" s="3">
        <v>8</v>
      </c>
      <c r="AF61" s="3">
        <v>6</v>
      </c>
      <c r="AG61" s="3">
        <v>4</v>
      </c>
      <c r="AH61" s="3">
        <v>5</v>
      </c>
      <c r="AI61" s="3">
        <v>3</v>
      </c>
      <c r="AJ61" s="3">
        <v>3</v>
      </c>
      <c r="AK61" s="3">
        <v>4</v>
      </c>
      <c r="AL61" s="3">
        <v>3</v>
      </c>
      <c r="AM61" s="3">
        <v>0</v>
      </c>
      <c r="AN61" s="3">
        <v>2</v>
      </c>
      <c r="AO61" s="3">
        <v>2</v>
      </c>
      <c r="AP61" s="3">
        <v>2</v>
      </c>
      <c r="AQ61" s="3">
        <v>3</v>
      </c>
      <c r="AR61" s="3">
        <v>1</v>
      </c>
      <c r="AS61" s="3">
        <v>1</v>
      </c>
      <c r="AT61" s="3">
        <v>2</v>
      </c>
      <c r="AU61" s="3">
        <v>2</v>
      </c>
      <c r="AV61" s="3">
        <v>2</v>
      </c>
      <c r="AW61" s="3">
        <v>2</v>
      </c>
      <c r="AX61" s="3">
        <v>2</v>
      </c>
      <c r="AY61" s="3">
        <v>0</v>
      </c>
      <c r="AZ61" s="3">
        <v>2</v>
      </c>
      <c r="BA61" s="3">
        <v>2</v>
      </c>
      <c r="BB61" s="3">
        <v>3</v>
      </c>
      <c r="BC61" s="3">
        <v>0</v>
      </c>
      <c r="BD61" s="3">
        <v>1</v>
      </c>
      <c r="BE61" s="3">
        <v>2</v>
      </c>
      <c r="BF61" s="3">
        <v>1</v>
      </c>
      <c r="BG61" s="3">
        <v>1</v>
      </c>
      <c r="BH61" s="3">
        <v>0</v>
      </c>
      <c r="BI61" s="3">
        <v>0</v>
      </c>
      <c r="BJ61" s="3">
        <v>1</v>
      </c>
      <c r="BK61" s="3" t="s">
        <v>201</v>
      </c>
      <c r="BL61" s="3" t="s">
        <v>201</v>
      </c>
      <c r="BM61" s="3" t="s">
        <v>201</v>
      </c>
      <c r="BN61" s="3" t="s">
        <v>201</v>
      </c>
      <c r="BO61" s="3" t="s">
        <v>201</v>
      </c>
      <c r="BP61" s="3" t="s">
        <v>201</v>
      </c>
      <c r="BQ61" s="3" t="s">
        <v>201</v>
      </c>
      <c r="BR61" s="3" t="s">
        <v>201</v>
      </c>
      <c r="BS61" s="3" t="s">
        <v>201</v>
      </c>
      <c r="BT61" s="3" t="s">
        <v>201</v>
      </c>
      <c r="BU61" s="3" t="s">
        <v>201</v>
      </c>
      <c r="BV61" s="3" t="s">
        <v>201</v>
      </c>
      <c r="BW61" s="3" t="s">
        <v>201</v>
      </c>
      <c r="BX61" s="3" t="s">
        <v>201</v>
      </c>
      <c r="BY61" s="3" t="s">
        <v>201</v>
      </c>
      <c r="BZ61" s="3" t="s">
        <v>201</v>
      </c>
      <c r="CA61" s="3" t="s">
        <v>201</v>
      </c>
      <c r="CB61" s="3" t="s">
        <v>201</v>
      </c>
      <c r="CC61" s="3" t="s">
        <v>201</v>
      </c>
      <c r="CD61" s="3" t="s">
        <v>201</v>
      </c>
      <c r="CE61" s="3" t="s">
        <v>201</v>
      </c>
      <c r="CF61" s="3" t="s">
        <v>201</v>
      </c>
      <c r="CG61" s="3" t="s">
        <v>201</v>
      </c>
      <c r="CH61" s="3" t="s">
        <v>201</v>
      </c>
      <c r="CI61" s="3" t="s">
        <v>201</v>
      </c>
      <c r="CJ61" s="3" t="s">
        <v>201</v>
      </c>
      <c r="CK61" s="3" t="s">
        <v>201</v>
      </c>
      <c r="CL61" s="3" t="s">
        <v>201</v>
      </c>
      <c r="CM61" s="3" t="s">
        <v>201</v>
      </c>
      <c r="CN61" s="3" t="s">
        <v>201</v>
      </c>
      <c r="CO61" s="3" t="s">
        <v>201</v>
      </c>
      <c r="CP61" s="3" t="s">
        <v>201</v>
      </c>
      <c r="CQ61" s="3" t="s">
        <v>201</v>
      </c>
      <c r="CR61" s="3" t="s">
        <v>201</v>
      </c>
      <c r="CS61" s="3" t="s">
        <v>201</v>
      </c>
      <c r="CT61" s="3" t="s">
        <v>201</v>
      </c>
      <c r="CU61" s="3" t="s">
        <v>201</v>
      </c>
      <c r="CV61" s="3" t="s">
        <v>201</v>
      </c>
      <c r="CW61" s="3" t="s">
        <v>201</v>
      </c>
      <c r="CX61" s="3" t="s">
        <v>201</v>
      </c>
      <c r="CY61" s="3" t="s">
        <v>201</v>
      </c>
      <c r="CZ61" s="3" t="s">
        <v>201</v>
      </c>
      <c r="DA61" s="3" t="s">
        <v>201</v>
      </c>
      <c r="DB61" s="3" t="s">
        <v>201</v>
      </c>
      <c r="DC61" s="3" t="s">
        <v>201</v>
      </c>
      <c r="DD61" s="3" t="s">
        <v>201</v>
      </c>
      <c r="DE61" s="3" t="s">
        <v>201</v>
      </c>
      <c r="DF61" s="3" t="s">
        <v>201</v>
      </c>
      <c r="DG61" s="3" t="s">
        <v>201</v>
      </c>
      <c r="DH61" s="3" t="s">
        <v>201</v>
      </c>
      <c r="DI61" s="3" t="s">
        <v>201</v>
      </c>
      <c r="DJ61" s="3" t="s">
        <v>201</v>
      </c>
      <c r="DK61" s="3" t="s">
        <v>201</v>
      </c>
      <c r="DL61" s="3" t="s">
        <v>201</v>
      </c>
      <c r="DM61" s="3" t="s">
        <v>201</v>
      </c>
      <c r="DN61" s="3" t="s">
        <v>201</v>
      </c>
      <c r="DO61" s="3" t="s">
        <v>201</v>
      </c>
      <c r="DP61" s="3" t="s">
        <v>201</v>
      </c>
      <c r="DQ61" s="3" t="s">
        <v>201</v>
      </c>
      <c r="DR61">
        <f t="shared" si="0"/>
        <v>2019</v>
      </c>
    </row>
    <row r="62" spans="1:122" x14ac:dyDescent="0.35">
      <c r="A62" s="4">
        <f t="shared" si="1"/>
        <v>43831</v>
      </c>
      <c r="B62" s="5">
        <v>65</v>
      </c>
      <c r="C62" s="5">
        <v>102</v>
      </c>
      <c r="D62" s="5">
        <v>77</v>
      </c>
      <c r="E62" s="5">
        <v>63</v>
      </c>
      <c r="F62" s="5">
        <v>34</v>
      </c>
      <c r="G62" s="5">
        <v>39</v>
      </c>
      <c r="H62" s="5">
        <v>43</v>
      </c>
      <c r="I62" s="5">
        <v>17</v>
      </c>
      <c r="J62" s="5">
        <v>18</v>
      </c>
      <c r="K62" s="5">
        <v>20</v>
      </c>
      <c r="L62" s="5">
        <v>58</v>
      </c>
      <c r="M62" s="5">
        <v>21</v>
      </c>
      <c r="N62" s="5">
        <v>11</v>
      </c>
      <c r="O62" s="5">
        <v>14</v>
      </c>
      <c r="P62" s="5">
        <v>14</v>
      </c>
      <c r="Q62" s="5">
        <v>11</v>
      </c>
      <c r="R62" s="5">
        <v>12</v>
      </c>
      <c r="S62" s="5">
        <v>7</v>
      </c>
      <c r="T62" s="5">
        <v>6</v>
      </c>
      <c r="U62" s="5">
        <v>9</v>
      </c>
      <c r="V62" s="5">
        <v>8</v>
      </c>
      <c r="W62" s="5">
        <v>7</v>
      </c>
      <c r="X62" s="5">
        <v>7</v>
      </c>
      <c r="Y62" s="5">
        <v>3</v>
      </c>
      <c r="Z62" s="5">
        <v>5</v>
      </c>
      <c r="AA62" s="5">
        <v>5</v>
      </c>
      <c r="AB62" s="5">
        <v>3</v>
      </c>
      <c r="AC62" s="5">
        <v>2</v>
      </c>
      <c r="AD62" s="5">
        <v>1</v>
      </c>
      <c r="AE62" s="5">
        <v>4</v>
      </c>
      <c r="AF62" s="5">
        <v>4</v>
      </c>
      <c r="AG62" s="5">
        <v>4</v>
      </c>
      <c r="AH62" s="5">
        <v>2</v>
      </c>
      <c r="AI62" s="5">
        <v>5</v>
      </c>
      <c r="AJ62" s="5">
        <v>3</v>
      </c>
      <c r="AK62" s="5">
        <v>2</v>
      </c>
      <c r="AL62" s="5">
        <v>4</v>
      </c>
      <c r="AM62" s="5">
        <v>2</v>
      </c>
      <c r="AN62" s="5">
        <v>3</v>
      </c>
      <c r="AO62" s="5">
        <v>2</v>
      </c>
      <c r="AP62" s="5">
        <v>2</v>
      </c>
      <c r="AQ62" s="5">
        <v>5</v>
      </c>
      <c r="AR62" s="5">
        <v>2</v>
      </c>
      <c r="AS62" s="5">
        <v>2</v>
      </c>
      <c r="AT62" s="5">
        <v>2</v>
      </c>
      <c r="AU62" s="5">
        <v>0</v>
      </c>
      <c r="AV62" s="5">
        <v>0</v>
      </c>
      <c r="AW62" s="5">
        <v>0</v>
      </c>
      <c r="AX62" s="5">
        <v>2</v>
      </c>
      <c r="AY62" s="5">
        <v>1</v>
      </c>
      <c r="AZ62" s="5">
        <v>3</v>
      </c>
      <c r="BA62" s="5">
        <v>3</v>
      </c>
      <c r="BB62" s="5">
        <v>3</v>
      </c>
      <c r="BC62" s="5">
        <v>0</v>
      </c>
      <c r="BD62" s="5">
        <v>2</v>
      </c>
      <c r="BE62" s="5">
        <v>0</v>
      </c>
      <c r="BF62" s="5">
        <v>3</v>
      </c>
      <c r="BG62" s="5">
        <v>1</v>
      </c>
      <c r="BH62" s="5">
        <v>2</v>
      </c>
      <c r="BI62" s="5">
        <v>1</v>
      </c>
      <c r="BJ62" s="5" t="s">
        <v>201</v>
      </c>
      <c r="BK62" s="5" t="s">
        <v>201</v>
      </c>
      <c r="BL62" s="5" t="s">
        <v>201</v>
      </c>
      <c r="BM62" s="5" t="s">
        <v>201</v>
      </c>
      <c r="BN62" s="5" t="s">
        <v>201</v>
      </c>
      <c r="BO62" s="5" t="s">
        <v>201</v>
      </c>
      <c r="BP62" s="5" t="s">
        <v>201</v>
      </c>
      <c r="BQ62" s="5" t="s">
        <v>201</v>
      </c>
      <c r="BR62" s="5" t="s">
        <v>201</v>
      </c>
      <c r="BS62" s="5" t="s">
        <v>201</v>
      </c>
      <c r="BT62" s="5" t="s">
        <v>201</v>
      </c>
      <c r="BU62" s="5" t="s">
        <v>201</v>
      </c>
      <c r="BV62" s="5" t="s">
        <v>201</v>
      </c>
      <c r="BW62" s="5" t="s">
        <v>201</v>
      </c>
      <c r="BX62" s="5" t="s">
        <v>201</v>
      </c>
      <c r="BY62" s="5" t="s">
        <v>201</v>
      </c>
      <c r="BZ62" s="5" t="s">
        <v>201</v>
      </c>
      <c r="CA62" s="5" t="s">
        <v>201</v>
      </c>
      <c r="CB62" s="5" t="s">
        <v>201</v>
      </c>
      <c r="CC62" s="5" t="s">
        <v>201</v>
      </c>
      <c r="CD62" s="5" t="s">
        <v>201</v>
      </c>
      <c r="CE62" s="5" t="s">
        <v>201</v>
      </c>
      <c r="CF62" s="5" t="s">
        <v>201</v>
      </c>
      <c r="CG62" s="5" t="s">
        <v>201</v>
      </c>
      <c r="CH62" s="5" t="s">
        <v>201</v>
      </c>
      <c r="CI62" s="5" t="s">
        <v>201</v>
      </c>
      <c r="CJ62" s="5" t="s">
        <v>201</v>
      </c>
      <c r="CK62" s="5" t="s">
        <v>201</v>
      </c>
      <c r="CL62" s="5" t="s">
        <v>201</v>
      </c>
      <c r="CM62" s="5" t="s">
        <v>201</v>
      </c>
      <c r="CN62" s="5" t="s">
        <v>201</v>
      </c>
      <c r="CO62" s="5" t="s">
        <v>201</v>
      </c>
      <c r="CP62" s="5" t="s">
        <v>201</v>
      </c>
      <c r="CQ62" s="5" t="s">
        <v>201</v>
      </c>
      <c r="CR62" s="5" t="s">
        <v>201</v>
      </c>
      <c r="CS62" s="5" t="s">
        <v>201</v>
      </c>
      <c r="CT62" s="5" t="s">
        <v>201</v>
      </c>
      <c r="CU62" s="5" t="s">
        <v>201</v>
      </c>
      <c r="CV62" s="5" t="s">
        <v>201</v>
      </c>
      <c r="CW62" s="5" t="s">
        <v>201</v>
      </c>
      <c r="CX62" s="5" t="s">
        <v>201</v>
      </c>
      <c r="CY62" s="5" t="s">
        <v>201</v>
      </c>
      <c r="CZ62" s="5" t="s">
        <v>201</v>
      </c>
      <c r="DA62" s="5" t="s">
        <v>201</v>
      </c>
      <c r="DB62" s="5" t="s">
        <v>201</v>
      </c>
      <c r="DC62" s="5" t="s">
        <v>201</v>
      </c>
      <c r="DD62" s="5" t="s">
        <v>201</v>
      </c>
      <c r="DE62" s="5" t="s">
        <v>201</v>
      </c>
      <c r="DF62" s="5" t="s">
        <v>201</v>
      </c>
      <c r="DG62" s="5" t="s">
        <v>201</v>
      </c>
      <c r="DH62" s="5" t="s">
        <v>201</v>
      </c>
      <c r="DI62" s="5" t="s">
        <v>201</v>
      </c>
      <c r="DJ62" s="5" t="s">
        <v>201</v>
      </c>
      <c r="DK62" s="5" t="s">
        <v>201</v>
      </c>
      <c r="DL62" s="5" t="s">
        <v>201</v>
      </c>
      <c r="DM62" s="5" t="s">
        <v>201</v>
      </c>
      <c r="DN62" s="5" t="s">
        <v>201</v>
      </c>
      <c r="DO62" s="5" t="s">
        <v>201</v>
      </c>
      <c r="DP62" s="5" t="s">
        <v>201</v>
      </c>
      <c r="DQ62" s="5" t="s">
        <v>201</v>
      </c>
      <c r="DR62">
        <f t="shared" si="0"/>
        <v>2020</v>
      </c>
    </row>
    <row r="63" spans="1:122" x14ac:dyDescent="0.35">
      <c r="A63" s="1">
        <f t="shared" si="1"/>
        <v>43862</v>
      </c>
      <c r="B63" s="2">
        <v>106</v>
      </c>
      <c r="C63" s="2">
        <v>154</v>
      </c>
      <c r="D63" s="2">
        <v>100</v>
      </c>
      <c r="E63" s="2">
        <v>67</v>
      </c>
      <c r="F63" s="2">
        <v>45</v>
      </c>
      <c r="G63" s="2">
        <v>41</v>
      </c>
      <c r="H63" s="2">
        <v>30</v>
      </c>
      <c r="I63" s="2">
        <v>14</v>
      </c>
      <c r="J63" s="2">
        <v>16</v>
      </c>
      <c r="K63" s="2">
        <v>81</v>
      </c>
      <c r="L63" s="2">
        <v>26</v>
      </c>
      <c r="M63" s="2">
        <v>16</v>
      </c>
      <c r="N63" s="3">
        <v>30</v>
      </c>
      <c r="O63" s="3">
        <v>17</v>
      </c>
      <c r="P63" s="3">
        <v>14</v>
      </c>
      <c r="Q63" s="3">
        <v>8</v>
      </c>
      <c r="R63" s="3">
        <v>16</v>
      </c>
      <c r="S63" s="3">
        <v>13</v>
      </c>
      <c r="T63" s="3">
        <v>9</v>
      </c>
      <c r="U63" s="3">
        <v>10</v>
      </c>
      <c r="V63" s="3">
        <v>7</v>
      </c>
      <c r="W63" s="3">
        <v>4</v>
      </c>
      <c r="X63" s="3">
        <v>6</v>
      </c>
      <c r="Y63" s="3">
        <v>6</v>
      </c>
      <c r="Z63" s="3">
        <v>3</v>
      </c>
      <c r="AA63" s="3">
        <v>3</v>
      </c>
      <c r="AB63" s="3">
        <v>2</v>
      </c>
      <c r="AC63" s="3">
        <v>6</v>
      </c>
      <c r="AD63" s="3">
        <v>6</v>
      </c>
      <c r="AE63" s="3">
        <v>7</v>
      </c>
      <c r="AF63" s="3">
        <v>4</v>
      </c>
      <c r="AG63" s="3">
        <v>2</v>
      </c>
      <c r="AH63" s="3">
        <v>2</v>
      </c>
      <c r="AI63" s="3">
        <v>3</v>
      </c>
      <c r="AJ63" s="3">
        <v>2</v>
      </c>
      <c r="AK63" s="3">
        <v>3</v>
      </c>
      <c r="AL63" s="3">
        <v>3</v>
      </c>
      <c r="AM63" s="3">
        <v>2</v>
      </c>
      <c r="AN63" s="3">
        <v>1</v>
      </c>
      <c r="AO63" s="3">
        <v>2</v>
      </c>
      <c r="AP63" s="3">
        <v>1</v>
      </c>
      <c r="AQ63" s="3">
        <v>2</v>
      </c>
      <c r="AR63" s="3">
        <v>1</v>
      </c>
      <c r="AS63" s="3">
        <v>1</v>
      </c>
      <c r="AT63" s="3">
        <v>0</v>
      </c>
      <c r="AU63" s="3">
        <v>1</v>
      </c>
      <c r="AV63" s="3">
        <v>1</v>
      </c>
      <c r="AW63" s="3">
        <v>1</v>
      </c>
      <c r="AX63" s="3">
        <v>2</v>
      </c>
      <c r="AY63" s="3">
        <v>3</v>
      </c>
      <c r="AZ63" s="3">
        <v>2</v>
      </c>
      <c r="BA63" s="3">
        <v>1</v>
      </c>
      <c r="BB63" s="3">
        <v>0</v>
      </c>
      <c r="BC63" s="3">
        <v>3</v>
      </c>
      <c r="BD63" s="3">
        <v>0</v>
      </c>
      <c r="BE63" s="3">
        <v>0</v>
      </c>
      <c r="BF63" s="3">
        <v>2</v>
      </c>
      <c r="BG63" s="3">
        <v>0</v>
      </c>
      <c r="BH63" s="3">
        <v>0</v>
      </c>
      <c r="BI63" s="3" t="s">
        <v>201</v>
      </c>
      <c r="BJ63" s="3" t="s">
        <v>201</v>
      </c>
      <c r="BK63" s="3" t="s">
        <v>201</v>
      </c>
      <c r="BL63" s="3" t="s">
        <v>201</v>
      </c>
      <c r="BM63" s="3" t="s">
        <v>201</v>
      </c>
      <c r="BN63" s="3" t="s">
        <v>201</v>
      </c>
      <c r="BO63" s="3" t="s">
        <v>201</v>
      </c>
      <c r="BP63" s="3" t="s">
        <v>201</v>
      </c>
      <c r="BQ63" s="3" t="s">
        <v>201</v>
      </c>
      <c r="BR63" s="3" t="s">
        <v>201</v>
      </c>
      <c r="BS63" s="3" t="s">
        <v>201</v>
      </c>
      <c r="BT63" s="3" t="s">
        <v>201</v>
      </c>
      <c r="BU63" s="3" t="s">
        <v>201</v>
      </c>
      <c r="BV63" s="3" t="s">
        <v>201</v>
      </c>
      <c r="BW63" s="3" t="s">
        <v>201</v>
      </c>
      <c r="BX63" s="3" t="s">
        <v>201</v>
      </c>
      <c r="BY63" s="3" t="s">
        <v>201</v>
      </c>
      <c r="BZ63" s="3" t="s">
        <v>201</v>
      </c>
      <c r="CA63" s="3" t="s">
        <v>201</v>
      </c>
      <c r="CB63" s="3" t="s">
        <v>201</v>
      </c>
      <c r="CC63" s="3" t="s">
        <v>201</v>
      </c>
      <c r="CD63" s="3" t="s">
        <v>201</v>
      </c>
      <c r="CE63" s="3" t="s">
        <v>201</v>
      </c>
      <c r="CF63" s="3" t="s">
        <v>201</v>
      </c>
      <c r="CG63" s="3" t="s">
        <v>201</v>
      </c>
      <c r="CH63" s="3" t="s">
        <v>201</v>
      </c>
      <c r="CI63" s="3" t="s">
        <v>201</v>
      </c>
      <c r="CJ63" s="3" t="s">
        <v>201</v>
      </c>
      <c r="CK63" s="3" t="s">
        <v>201</v>
      </c>
      <c r="CL63" s="3" t="s">
        <v>201</v>
      </c>
      <c r="CM63" s="3" t="s">
        <v>201</v>
      </c>
      <c r="CN63" s="3" t="s">
        <v>201</v>
      </c>
      <c r="CO63" s="3" t="s">
        <v>201</v>
      </c>
      <c r="CP63" s="3" t="s">
        <v>201</v>
      </c>
      <c r="CQ63" s="3" t="s">
        <v>201</v>
      </c>
      <c r="CR63" s="3" t="s">
        <v>201</v>
      </c>
      <c r="CS63" s="3" t="s">
        <v>201</v>
      </c>
      <c r="CT63" s="3" t="s">
        <v>201</v>
      </c>
      <c r="CU63" s="3" t="s">
        <v>201</v>
      </c>
      <c r="CV63" s="3" t="s">
        <v>201</v>
      </c>
      <c r="CW63" s="3" t="s">
        <v>201</v>
      </c>
      <c r="CX63" s="3" t="s">
        <v>201</v>
      </c>
      <c r="CY63" s="3" t="s">
        <v>201</v>
      </c>
      <c r="CZ63" s="3" t="s">
        <v>201</v>
      </c>
      <c r="DA63" s="3" t="s">
        <v>201</v>
      </c>
      <c r="DB63" s="3" t="s">
        <v>201</v>
      </c>
      <c r="DC63" s="3" t="s">
        <v>201</v>
      </c>
      <c r="DD63" s="3" t="s">
        <v>201</v>
      </c>
      <c r="DE63" s="3" t="s">
        <v>201</v>
      </c>
      <c r="DF63" s="3" t="s">
        <v>201</v>
      </c>
      <c r="DG63" s="3" t="s">
        <v>201</v>
      </c>
      <c r="DH63" s="3" t="s">
        <v>201</v>
      </c>
      <c r="DI63" s="3" t="s">
        <v>201</v>
      </c>
      <c r="DJ63" s="3" t="s">
        <v>201</v>
      </c>
      <c r="DK63" s="3" t="s">
        <v>201</v>
      </c>
      <c r="DL63" s="3" t="s">
        <v>201</v>
      </c>
      <c r="DM63" s="3" t="s">
        <v>201</v>
      </c>
      <c r="DN63" s="3" t="s">
        <v>201</v>
      </c>
      <c r="DO63" s="3" t="s">
        <v>201</v>
      </c>
      <c r="DP63" s="3" t="s">
        <v>201</v>
      </c>
      <c r="DQ63" s="3" t="s">
        <v>201</v>
      </c>
      <c r="DR63">
        <f t="shared" si="0"/>
        <v>2020</v>
      </c>
    </row>
    <row r="64" spans="1:122" x14ac:dyDescent="0.35">
      <c r="A64" s="1">
        <f t="shared" si="1"/>
        <v>43891</v>
      </c>
      <c r="B64" s="2">
        <v>107</v>
      </c>
      <c r="C64" s="2">
        <v>126</v>
      </c>
      <c r="D64" s="2">
        <v>106</v>
      </c>
      <c r="E64" s="2">
        <v>54</v>
      </c>
      <c r="F64" s="2">
        <v>57</v>
      </c>
      <c r="G64" s="2">
        <v>41</v>
      </c>
      <c r="H64" s="2">
        <v>19</v>
      </c>
      <c r="I64" s="2">
        <v>24</v>
      </c>
      <c r="J64" s="2">
        <v>72</v>
      </c>
      <c r="K64" s="2">
        <v>26</v>
      </c>
      <c r="L64" s="2">
        <v>27</v>
      </c>
      <c r="M64" s="2">
        <v>24</v>
      </c>
      <c r="N64" s="3">
        <v>14</v>
      </c>
      <c r="O64" s="3">
        <v>13</v>
      </c>
      <c r="P64" s="3">
        <v>19</v>
      </c>
      <c r="Q64" s="3">
        <v>13</v>
      </c>
      <c r="R64" s="3">
        <v>8</v>
      </c>
      <c r="S64" s="3">
        <v>11</v>
      </c>
      <c r="T64" s="3">
        <v>9</v>
      </c>
      <c r="U64" s="3">
        <v>10</v>
      </c>
      <c r="V64" s="3">
        <v>5</v>
      </c>
      <c r="W64" s="3">
        <v>7</v>
      </c>
      <c r="X64" s="3">
        <v>4</v>
      </c>
      <c r="Y64" s="3">
        <v>7</v>
      </c>
      <c r="Z64" s="3">
        <v>10</v>
      </c>
      <c r="AA64" s="3">
        <v>6</v>
      </c>
      <c r="AB64" s="3">
        <v>4</v>
      </c>
      <c r="AC64" s="3">
        <v>5</v>
      </c>
      <c r="AD64" s="3">
        <v>5</v>
      </c>
      <c r="AE64" s="3">
        <v>8</v>
      </c>
      <c r="AF64" s="3">
        <v>4</v>
      </c>
      <c r="AG64" s="3">
        <v>5</v>
      </c>
      <c r="AH64" s="3">
        <v>6</v>
      </c>
      <c r="AI64" s="3">
        <v>0</v>
      </c>
      <c r="AJ64" s="3">
        <v>2</v>
      </c>
      <c r="AK64" s="3">
        <v>4</v>
      </c>
      <c r="AL64" s="3">
        <v>0</v>
      </c>
      <c r="AM64" s="3">
        <v>3</v>
      </c>
      <c r="AN64" s="3">
        <v>3</v>
      </c>
      <c r="AO64" s="3">
        <v>4</v>
      </c>
      <c r="AP64" s="3">
        <v>0</v>
      </c>
      <c r="AQ64" s="3">
        <v>1</v>
      </c>
      <c r="AR64" s="3">
        <v>5</v>
      </c>
      <c r="AS64" s="3">
        <v>3</v>
      </c>
      <c r="AT64" s="3">
        <v>1</v>
      </c>
      <c r="AU64" s="3">
        <v>0</v>
      </c>
      <c r="AV64" s="3">
        <v>0</v>
      </c>
      <c r="AW64" s="3">
        <v>1</v>
      </c>
      <c r="AX64" s="3">
        <v>2</v>
      </c>
      <c r="AY64" s="3">
        <v>3</v>
      </c>
      <c r="AZ64" s="3">
        <v>3</v>
      </c>
      <c r="BA64" s="3">
        <v>2</v>
      </c>
      <c r="BB64" s="3">
        <v>0</v>
      </c>
      <c r="BC64" s="3">
        <v>1</v>
      </c>
      <c r="BD64" s="3">
        <v>2</v>
      </c>
      <c r="BE64" s="3">
        <v>0</v>
      </c>
      <c r="BF64" s="3">
        <v>1</v>
      </c>
      <c r="BG64" s="3">
        <v>0</v>
      </c>
      <c r="BH64" s="3" t="s">
        <v>201</v>
      </c>
      <c r="BI64" s="3" t="s">
        <v>201</v>
      </c>
      <c r="BJ64" s="3" t="s">
        <v>201</v>
      </c>
      <c r="BK64" s="3" t="s">
        <v>201</v>
      </c>
      <c r="BL64" s="3" t="s">
        <v>201</v>
      </c>
      <c r="BM64" s="3" t="s">
        <v>201</v>
      </c>
      <c r="BN64" s="3" t="s">
        <v>201</v>
      </c>
      <c r="BO64" s="3" t="s">
        <v>201</v>
      </c>
      <c r="BP64" s="3" t="s">
        <v>201</v>
      </c>
      <c r="BQ64" s="3" t="s">
        <v>201</v>
      </c>
      <c r="BR64" s="3" t="s">
        <v>201</v>
      </c>
      <c r="BS64" s="3" t="s">
        <v>201</v>
      </c>
      <c r="BT64" s="3" t="s">
        <v>201</v>
      </c>
      <c r="BU64" s="3" t="s">
        <v>201</v>
      </c>
      <c r="BV64" s="3" t="s">
        <v>201</v>
      </c>
      <c r="BW64" s="3" t="s">
        <v>201</v>
      </c>
      <c r="BX64" s="3" t="s">
        <v>201</v>
      </c>
      <c r="BY64" s="3" t="s">
        <v>201</v>
      </c>
      <c r="BZ64" s="3" t="s">
        <v>201</v>
      </c>
      <c r="CA64" s="3" t="s">
        <v>201</v>
      </c>
      <c r="CB64" s="3" t="s">
        <v>201</v>
      </c>
      <c r="CC64" s="3" t="s">
        <v>201</v>
      </c>
      <c r="CD64" s="3" t="s">
        <v>201</v>
      </c>
      <c r="CE64" s="3" t="s">
        <v>201</v>
      </c>
      <c r="CF64" s="3" t="s">
        <v>201</v>
      </c>
      <c r="CG64" s="3" t="s">
        <v>201</v>
      </c>
      <c r="CH64" s="3" t="s">
        <v>201</v>
      </c>
      <c r="CI64" s="3" t="s">
        <v>201</v>
      </c>
      <c r="CJ64" s="3" t="s">
        <v>201</v>
      </c>
      <c r="CK64" s="3" t="s">
        <v>201</v>
      </c>
      <c r="CL64" s="3" t="s">
        <v>201</v>
      </c>
      <c r="CM64" s="3" t="s">
        <v>201</v>
      </c>
      <c r="CN64" s="3" t="s">
        <v>201</v>
      </c>
      <c r="CO64" s="3" t="s">
        <v>201</v>
      </c>
      <c r="CP64" s="3" t="s">
        <v>201</v>
      </c>
      <c r="CQ64" s="3" t="s">
        <v>201</v>
      </c>
      <c r="CR64" s="3" t="s">
        <v>201</v>
      </c>
      <c r="CS64" s="3" t="s">
        <v>201</v>
      </c>
      <c r="CT64" s="3" t="s">
        <v>201</v>
      </c>
      <c r="CU64" s="3" t="s">
        <v>201</v>
      </c>
      <c r="CV64" s="3" t="s">
        <v>201</v>
      </c>
      <c r="CW64" s="3" t="s">
        <v>201</v>
      </c>
      <c r="CX64" s="3" t="s">
        <v>201</v>
      </c>
      <c r="CY64" s="3" t="s">
        <v>201</v>
      </c>
      <c r="CZ64" s="3" t="s">
        <v>201</v>
      </c>
      <c r="DA64" s="3" t="s">
        <v>201</v>
      </c>
      <c r="DB64" s="3" t="s">
        <v>201</v>
      </c>
      <c r="DC64" s="3" t="s">
        <v>201</v>
      </c>
      <c r="DD64" s="3" t="s">
        <v>201</v>
      </c>
      <c r="DE64" s="3" t="s">
        <v>201</v>
      </c>
      <c r="DF64" s="3" t="s">
        <v>201</v>
      </c>
      <c r="DG64" s="3" t="s">
        <v>201</v>
      </c>
      <c r="DH64" s="3" t="s">
        <v>201</v>
      </c>
      <c r="DI64" s="3" t="s">
        <v>201</v>
      </c>
      <c r="DJ64" s="3" t="s">
        <v>201</v>
      </c>
      <c r="DK64" s="3" t="s">
        <v>201</v>
      </c>
      <c r="DL64" s="3" t="s">
        <v>201</v>
      </c>
      <c r="DM64" s="3" t="s">
        <v>201</v>
      </c>
      <c r="DN64" s="3" t="s">
        <v>201</v>
      </c>
      <c r="DO64" s="3" t="s">
        <v>201</v>
      </c>
      <c r="DP64" s="3" t="s">
        <v>201</v>
      </c>
      <c r="DQ64" s="3" t="s">
        <v>201</v>
      </c>
      <c r="DR64">
        <f t="shared" si="0"/>
        <v>2020</v>
      </c>
    </row>
    <row r="65" spans="1:122" x14ac:dyDescent="0.35">
      <c r="A65" s="1">
        <f t="shared" si="1"/>
        <v>43922</v>
      </c>
      <c r="B65" s="2">
        <v>96</v>
      </c>
      <c r="C65" s="2">
        <v>131</v>
      </c>
      <c r="D65" s="2">
        <v>104</v>
      </c>
      <c r="E65" s="2">
        <v>80</v>
      </c>
      <c r="F65" s="2">
        <v>37</v>
      </c>
      <c r="G65" s="2">
        <v>17</v>
      </c>
      <c r="H65" s="2">
        <v>27</v>
      </c>
      <c r="I65" s="2">
        <v>93</v>
      </c>
      <c r="J65" s="2">
        <v>25</v>
      </c>
      <c r="K65" s="2">
        <v>23</v>
      </c>
      <c r="L65" s="2">
        <v>23</v>
      </c>
      <c r="M65" s="2">
        <v>18</v>
      </c>
      <c r="N65" s="3">
        <v>25</v>
      </c>
      <c r="O65" s="3">
        <v>20</v>
      </c>
      <c r="P65" s="3">
        <v>16</v>
      </c>
      <c r="Q65" s="3">
        <v>18</v>
      </c>
      <c r="R65" s="3">
        <v>13</v>
      </c>
      <c r="S65" s="3">
        <v>9</v>
      </c>
      <c r="T65" s="3">
        <v>6</v>
      </c>
      <c r="U65" s="3">
        <v>12</v>
      </c>
      <c r="V65" s="3">
        <v>9</v>
      </c>
      <c r="W65" s="3">
        <v>7</v>
      </c>
      <c r="X65" s="3">
        <v>6</v>
      </c>
      <c r="Y65" s="3">
        <v>4</v>
      </c>
      <c r="Z65" s="3">
        <v>13</v>
      </c>
      <c r="AA65" s="3">
        <v>10</v>
      </c>
      <c r="AB65" s="3">
        <v>8</v>
      </c>
      <c r="AC65" s="3">
        <v>11</v>
      </c>
      <c r="AD65" s="3">
        <v>4</v>
      </c>
      <c r="AE65" s="3">
        <v>5</v>
      </c>
      <c r="AF65" s="3">
        <v>4</v>
      </c>
      <c r="AG65" s="3">
        <v>6</v>
      </c>
      <c r="AH65" s="3">
        <v>7</v>
      </c>
      <c r="AI65" s="3">
        <v>4</v>
      </c>
      <c r="AJ65" s="3">
        <v>4</v>
      </c>
      <c r="AK65" s="3">
        <v>4</v>
      </c>
      <c r="AL65" s="3">
        <v>3</v>
      </c>
      <c r="AM65" s="3">
        <v>2</v>
      </c>
      <c r="AN65" s="3">
        <v>6</v>
      </c>
      <c r="AO65" s="3">
        <v>1</v>
      </c>
      <c r="AP65" s="3">
        <v>1</v>
      </c>
      <c r="AQ65" s="3">
        <v>1</v>
      </c>
      <c r="AR65" s="3">
        <v>2</v>
      </c>
      <c r="AS65" s="3">
        <v>0</v>
      </c>
      <c r="AT65" s="3">
        <v>1</v>
      </c>
      <c r="AU65" s="3">
        <v>2</v>
      </c>
      <c r="AV65" s="3">
        <v>2</v>
      </c>
      <c r="AW65" s="3">
        <v>0</v>
      </c>
      <c r="AX65" s="3">
        <v>3</v>
      </c>
      <c r="AY65" s="3">
        <v>1</v>
      </c>
      <c r="AZ65" s="3">
        <v>2</v>
      </c>
      <c r="BA65" s="3">
        <v>1</v>
      </c>
      <c r="BB65" s="3">
        <v>2</v>
      </c>
      <c r="BC65" s="3">
        <v>2</v>
      </c>
      <c r="BD65" s="3">
        <v>0</v>
      </c>
      <c r="BE65" s="3">
        <v>0</v>
      </c>
      <c r="BF65" s="3">
        <v>0</v>
      </c>
      <c r="BG65" s="3" t="s">
        <v>201</v>
      </c>
      <c r="BH65" s="3" t="s">
        <v>201</v>
      </c>
      <c r="BI65" s="3" t="s">
        <v>201</v>
      </c>
      <c r="BJ65" s="3" t="s">
        <v>201</v>
      </c>
      <c r="BK65" s="3" t="s">
        <v>201</v>
      </c>
      <c r="BL65" s="3" t="s">
        <v>201</v>
      </c>
      <c r="BM65" s="3" t="s">
        <v>201</v>
      </c>
      <c r="BN65" s="3" t="s">
        <v>201</v>
      </c>
      <c r="BO65" s="3" t="s">
        <v>201</v>
      </c>
      <c r="BP65" s="3" t="s">
        <v>201</v>
      </c>
      <c r="BQ65" s="3" t="s">
        <v>201</v>
      </c>
      <c r="BR65" s="3" t="s">
        <v>201</v>
      </c>
      <c r="BS65" s="3" t="s">
        <v>201</v>
      </c>
      <c r="BT65" s="3" t="s">
        <v>201</v>
      </c>
      <c r="BU65" s="3" t="s">
        <v>201</v>
      </c>
      <c r="BV65" s="3" t="s">
        <v>201</v>
      </c>
      <c r="BW65" s="3" t="s">
        <v>201</v>
      </c>
      <c r="BX65" s="3" t="s">
        <v>201</v>
      </c>
      <c r="BY65" s="3" t="s">
        <v>201</v>
      </c>
      <c r="BZ65" s="3" t="s">
        <v>201</v>
      </c>
      <c r="CA65" s="3" t="s">
        <v>201</v>
      </c>
      <c r="CB65" s="3" t="s">
        <v>201</v>
      </c>
      <c r="CC65" s="3" t="s">
        <v>201</v>
      </c>
      <c r="CD65" s="3" t="s">
        <v>201</v>
      </c>
      <c r="CE65" s="3" t="s">
        <v>201</v>
      </c>
      <c r="CF65" s="3" t="s">
        <v>201</v>
      </c>
      <c r="CG65" s="3" t="s">
        <v>201</v>
      </c>
      <c r="CH65" s="3" t="s">
        <v>201</v>
      </c>
      <c r="CI65" s="3" t="s">
        <v>201</v>
      </c>
      <c r="CJ65" s="3" t="s">
        <v>201</v>
      </c>
      <c r="CK65" s="3" t="s">
        <v>201</v>
      </c>
      <c r="CL65" s="3" t="s">
        <v>201</v>
      </c>
      <c r="CM65" s="3" t="s">
        <v>201</v>
      </c>
      <c r="CN65" s="3" t="s">
        <v>201</v>
      </c>
      <c r="CO65" s="3" t="s">
        <v>201</v>
      </c>
      <c r="CP65" s="3" t="s">
        <v>201</v>
      </c>
      <c r="CQ65" s="3" t="s">
        <v>201</v>
      </c>
      <c r="CR65" s="3" t="s">
        <v>201</v>
      </c>
      <c r="CS65" s="3" t="s">
        <v>201</v>
      </c>
      <c r="CT65" s="3" t="s">
        <v>201</v>
      </c>
      <c r="CU65" s="3" t="s">
        <v>201</v>
      </c>
      <c r="CV65" s="3" t="s">
        <v>201</v>
      </c>
      <c r="CW65" s="3" t="s">
        <v>201</v>
      </c>
      <c r="CX65" s="3" t="s">
        <v>201</v>
      </c>
      <c r="CY65" s="3" t="s">
        <v>201</v>
      </c>
      <c r="CZ65" s="3" t="s">
        <v>201</v>
      </c>
      <c r="DA65" s="3" t="s">
        <v>201</v>
      </c>
      <c r="DB65" s="3" t="s">
        <v>201</v>
      </c>
      <c r="DC65" s="3" t="s">
        <v>201</v>
      </c>
      <c r="DD65" s="3" t="s">
        <v>201</v>
      </c>
      <c r="DE65" s="3" t="s">
        <v>201</v>
      </c>
      <c r="DF65" s="3" t="s">
        <v>201</v>
      </c>
      <c r="DG65" s="3" t="s">
        <v>201</v>
      </c>
      <c r="DH65" s="3" t="s">
        <v>201</v>
      </c>
      <c r="DI65" s="3" t="s">
        <v>201</v>
      </c>
      <c r="DJ65" s="3" t="s">
        <v>201</v>
      </c>
      <c r="DK65" s="3" t="s">
        <v>201</v>
      </c>
      <c r="DL65" s="3" t="s">
        <v>201</v>
      </c>
      <c r="DM65" s="3" t="s">
        <v>201</v>
      </c>
      <c r="DN65" s="3" t="s">
        <v>201</v>
      </c>
      <c r="DO65" s="3" t="s">
        <v>201</v>
      </c>
      <c r="DP65" s="3" t="s">
        <v>201</v>
      </c>
      <c r="DQ65" s="3" t="s">
        <v>201</v>
      </c>
      <c r="DR65">
        <f t="shared" si="0"/>
        <v>2020</v>
      </c>
    </row>
    <row r="66" spans="1:122" x14ac:dyDescent="0.35">
      <c r="A66" s="1">
        <f t="shared" si="1"/>
        <v>43952</v>
      </c>
      <c r="B66" s="2">
        <v>67</v>
      </c>
      <c r="C66" s="2">
        <v>121</v>
      </c>
      <c r="D66" s="2">
        <v>97</v>
      </c>
      <c r="E66" s="2">
        <v>51</v>
      </c>
      <c r="F66" s="2">
        <v>33</v>
      </c>
      <c r="G66" s="2">
        <v>40</v>
      </c>
      <c r="H66" s="2">
        <v>128</v>
      </c>
      <c r="I66" s="2">
        <v>28</v>
      </c>
      <c r="J66" s="2">
        <v>23</v>
      </c>
      <c r="K66" s="2">
        <v>16</v>
      </c>
      <c r="L66" s="2">
        <v>17</v>
      </c>
      <c r="M66" s="2">
        <v>20</v>
      </c>
      <c r="N66" s="3">
        <v>20</v>
      </c>
      <c r="O66" s="3">
        <v>17</v>
      </c>
      <c r="P66" s="3">
        <v>10</v>
      </c>
      <c r="Q66" s="3">
        <v>9</v>
      </c>
      <c r="R66" s="3">
        <v>15</v>
      </c>
      <c r="S66" s="3">
        <v>11</v>
      </c>
      <c r="T66" s="3">
        <v>15</v>
      </c>
      <c r="U66" s="3">
        <v>5</v>
      </c>
      <c r="V66" s="3">
        <v>2</v>
      </c>
      <c r="W66" s="3">
        <v>7</v>
      </c>
      <c r="X66" s="3">
        <v>5</v>
      </c>
      <c r="Y66" s="3">
        <v>6</v>
      </c>
      <c r="Z66" s="3">
        <v>6</v>
      </c>
      <c r="AA66" s="3">
        <v>6</v>
      </c>
      <c r="AB66" s="3">
        <v>5</v>
      </c>
      <c r="AC66" s="3">
        <v>4</v>
      </c>
      <c r="AD66" s="3">
        <v>4</v>
      </c>
      <c r="AE66" s="3">
        <v>1</v>
      </c>
      <c r="AF66" s="3">
        <v>7</v>
      </c>
      <c r="AG66" s="3">
        <v>1</v>
      </c>
      <c r="AH66" s="3">
        <v>5</v>
      </c>
      <c r="AI66" s="3">
        <v>1</v>
      </c>
      <c r="AJ66" s="3">
        <v>4</v>
      </c>
      <c r="AK66" s="3">
        <v>3</v>
      </c>
      <c r="AL66" s="3">
        <v>3</v>
      </c>
      <c r="AM66" s="3">
        <v>1</v>
      </c>
      <c r="AN66" s="3">
        <v>1</v>
      </c>
      <c r="AO66" s="3">
        <v>0</v>
      </c>
      <c r="AP66" s="3">
        <v>2</v>
      </c>
      <c r="AQ66" s="3">
        <v>1</v>
      </c>
      <c r="AR66" s="3">
        <v>4</v>
      </c>
      <c r="AS66" s="3">
        <v>1</v>
      </c>
      <c r="AT66" s="3">
        <v>1</v>
      </c>
      <c r="AU66" s="3">
        <v>2</v>
      </c>
      <c r="AV66" s="3">
        <v>2</v>
      </c>
      <c r="AW66" s="3">
        <v>2</v>
      </c>
      <c r="AX66" s="3">
        <v>4</v>
      </c>
      <c r="AY66" s="3">
        <v>0</v>
      </c>
      <c r="AZ66" s="3">
        <v>1</v>
      </c>
      <c r="BA66" s="3">
        <v>0</v>
      </c>
      <c r="BB66" s="3">
        <v>0</v>
      </c>
      <c r="BC66" s="3">
        <v>0</v>
      </c>
      <c r="BD66" s="3">
        <v>0</v>
      </c>
      <c r="BE66" s="3">
        <v>0</v>
      </c>
      <c r="BF66" s="3" t="s">
        <v>201</v>
      </c>
      <c r="BG66" s="3" t="s">
        <v>201</v>
      </c>
      <c r="BH66" s="3" t="s">
        <v>201</v>
      </c>
      <c r="BI66" s="3" t="s">
        <v>201</v>
      </c>
      <c r="BJ66" s="3" t="s">
        <v>201</v>
      </c>
      <c r="BK66" s="3" t="s">
        <v>201</v>
      </c>
      <c r="BL66" s="3" t="s">
        <v>201</v>
      </c>
      <c r="BM66" s="3" t="s">
        <v>201</v>
      </c>
      <c r="BN66" s="3" t="s">
        <v>201</v>
      </c>
      <c r="BO66" s="3" t="s">
        <v>201</v>
      </c>
      <c r="BP66" s="3" t="s">
        <v>201</v>
      </c>
      <c r="BQ66" s="3" t="s">
        <v>201</v>
      </c>
      <c r="BR66" s="3" t="s">
        <v>201</v>
      </c>
      <c r="BS66" s="3" t="s">
        <v>201</v>
      </c>
      <c r="BT66" s="3" t="s">
        <v>201</v>
      </c>
      <c r="BU66" s="3" t="s">
        <v>201</v>
      </c>
      <c r="BV66" s="3" t="s">
        <v>201</v>
      </c>
      <c r="BW66" s="3" t="s">
        <v>201</v>
      </c>
      <c r="BX66" s="3" t="s">
        <v>201</v>
      </c>
      <c r="BY66" s="3" t="s">
        <v>201</v>
      </c>
      <c r="BZ66" s="3" t="s">
        <v>201</v>
      </c>
      <c r="CA66" s="3" t="s">
        <v>201</v>
      </c>
      <c r="CB66" s="3" t="s">
        <v>201</v>
      </c>
      <c r="CC66" s="3" t="s">
        <v>201</v>
      </c>
      <c r="CD66" s="3" t="s">
        <v>201</v>
      </c>
      <c r="CE66" s="3" t="s">
        <v>201</v>
      </c>
      <c r="CF66" s="3" t="s">
        <v>201</v>
      </c>
      <c r="CG66" s="3" t="s">
        <v>201</v>
      </c>
      <c r="CH66" s="3" t="s">
        <v>201</v>
      </c>
      <c r="CI66" s="3" t="s">
        <v>201</v>
      </c>
      <c r="CJ66" s="3" t="s">
        <v>201</v>
      </c>
      <c r="CK66" s="3" t="s">
        <v>201</v>
      </c>
      <c r="CL66" s="3" t="s">
        <v>201</v>
      </c>
      <c r="CM66" s="3" t="s">
        <v>201</v>
      </c>
      <c r="CN66" s="3" t="s">
        <v>201</v>
      </c>
      <c r="CO66" s="3" t="s">
        <v>201</v>
      </c>
      <c r="CP66" s="3" t="s">
        <v>201</v>
      </c>
      <c r="CQ66" s="3" t="s">
        <v>201</v>
      </c>
      <c r="CR66" s="3" t="s">
        <v>201</v>
      </c>
      <c r="CS66" s="3" t="s">
        <v>201</v>
      </c>
      <c r="CT66" s="3" t="s">
        <v>201</v>
      </c>
      <c r="CU66" s="3" t="s">
        <v>201</v>
      </c>
      <c r="CV66" s="3" t="s">
        <v>201</v>
      </c>
      <c r="CW66" s="3" t="s">
        <v>201</v>
      </c>
      <c r="CX66" s="3" t="s">
        <v>201</v>
      </c>
      <c r="CY66" s="3" t="s">
        <v>201</v>
      </c>
      <c r="CZ66" s="3" t="s">
        <v>201</v>
      </c>
      <c r="DA66" s="3" t="s">
        <v>201</v>
      </c>
      <c r="DB66" s="3" t="s">
        <v>201</v>
      </c>
      <c r="DC66" s="3" t="s">
        <v>201</v>
      </c>
      <c r="DD66" s="3" t="s">
        <v>201</v>
      </c>
      <c r="DE66" s="3" t="s">
        <v>201</v>
      </c>
      <c r="DF66" s="3" t="s">
        <v>201</v>
      </c>
      <c r="DG66" s="3" t="s">
        <v>201</v>
      </c>
      <c r="DH66" s="3" t="s">
        <v>201</v>
      </c>
      <c r="DI66" s="3" t="s">
        <v>201</v>
      </c>
      <c r="DJ66" s="3" t="s">
        <v>201</v>
      </c>
      <c r="DK66" s="3" t="s">
        <v>201</v>
      </c>
      <c r="DL66" s="3" t="s">
        <v>201</v>
      </c>
      <c r="DM66" s="3" t="s">
        <v>201</v>
      </c>
      <c r="DN66" s="3" t="s">
        <v>201</v>
      </c>
      <c r="DO66" s="3" t="s">
        <v>201</v>
      </c>
      <c r="DP66" s="3" t="s">
        <v>201</v>
      </c>
      <c r="DQ66" s="3" t="s">
        <v>201</v>
      </c>
      <c r="DR66">
        <f t="shared" si="0"/>
        <v>2020</v>
      </c>
    </row>
    <row r="67" spans="1:122" x14ac:dyDescent="0.35">
      <c r="A67" s="1">
        <f t="shared" si="1"/>
        <v>43983</v>
      </c>
      <c r="B67" s="2">
        <v>74</v>
      </c>
      <c r="C67" s="2">
        <v>119</v>
      </c>
      <c r="D67" s="2">
        <v>77</v>
      </c>
      <c r="E67" s="2">
        <v>36</v>
      </c>
      <c r="F67" s="2">
        <v>29</v>
      </c>
      <c r="G67" s="2">
        <v>123</v>
      </c>
      <c r="H67" s="2">
        <v>26</v>
      </c>
      <c r="I67" s="2">
        <v>24</v>
      </c>
      <c r="J67" s="2">
        <v>20</v>
      </c>
      <c r="K67" s="2">
        <v>16</v>
      </c>
      <c r="L67" s="2">
        <v>12</v>
      </c>
      <c r="M67" s="2">
        <v>17</v>
      </c>
      <c r="N67" s="3">
        <v>21</v>
      </c>
      <c r="O67" s="3">
        <v>6</v>
      </c>
      <c r="P67" s="3">
        <v>9</v>
      </c>
      <c r="Q67" s="3">
        <v>9</v>
      </c>
      <c r="R67" s="3">
        <v>5</v>
      </c>
      <c r="S67" s="3">
        <v>10</v>
      </c>
      <c r="T67" s="3">
        <v>11</v>
      </c>
      <c r="U67" s="3">
        <v>3</v>
      </c>
      <c r="V67" s="3">
        <v>4</v>
      </c>
      <c r="W67" s="3">
        <v>7</v>
      </c>
      <c r="X67" s="3">
        <v>11</v>
      </c>
      <c r="Y67" s="3">
        <v>20</v>
      </c>
      <c r="Z67" s="3">
        <v>3</v>
      </c>
      <c r="AA67" s="3">
        <v>4</v>
      </c>
      <c r="AB67" s="3">
        <v>3</v>
      </c>
      <c r="AC67" s="3">
        <v>1</v>
      </c>
      <c r="AD67" s="3">
        <v>0</v>
      </c>
      <c r="AE67" s="3">
        <v>2</v>
      </c>
      <c r="AF67" s="3">
        <v>1</v>
      </c>
      <c r="AG67" s="3">
        <v>2</v>
      </c>
      <c r="AH67" s="3">
        <v>0</v>
      </c>
      <c r="AI67" s="3">
        <v>1</v>
      </c>
      <c r="AJ67" s="3">
        <v>3</v>
      </c>
      <c r="AK67" s="3">
        <v>4</v>
      </c>
      <c r="AL67" s="3">
        <v>2</v>
      </c>
      <c r="AM67" s="3">
        <v>2</v>
      </c>
      <c r="AN67" s="3">
        <v>0</v>
      </c>
      <c r="AO67" s="3">
        <v>0</v>
      </c>
      <c r="AP67" s="3">
        <v>3</v>
      </c>
      <c r="AQ67" s="3">
        <v>2</v>
      </c>
      <c r="AR67" s="3">
        <v>2</v>
      </c>
      <c r="AS67" s="3">
        <v>0</v>
      </c>
      <c r="AT67" s="3">
        <v>0</v>
      </c>
      <c r="AU67" s="3">
        <v>1</v>
      </c>
      <c r="AV67" s="3">
        <v>1</v>
      </c>
      <c r="AW67" s="3">
        <v>2</v>
      </c>
      <c r="AX67" s="3">
        <v>1</v>
      </c>
      <c r="AY67" s="3">
        <v>1</v>
      </c>
      <c r="AZ67" s="3">
        <v>3</v>
      </c>
      <c r="BA67" s="3">
        <v>0</v>
      </c>
      <c r="BB67" s="3">
        <v>1</v>
      </c>
      <c r="BC67" s="3">
        <v>0</v>
      </c>
      <c r="BD67" s="3">
        <v>0</v>
      </c>
      <c r="BE67" s="3" t="s">
        <v>201</v>
      </c>
      <c r="BF67" s="3" t="s">
        <v>201</v>
      </c>
      <c r="BG67" s="3" t="s">
        <v>201</v>
      </c>
      <c r="BH67" s="3" t="s">
        <v>201</v>
      </c>
      <c r="BI67" s="3" t="s">
        <v>201</v>
      </c>
      <c r="BJ67" s="3" t="s">
        <v>201</v>
      </c>
      <c r="BK67" s="3" t="s">
        <v>201</v>
      </c>
      <c r="BL67" s="3" t="s">
        <v>201</v>
      </c>
      <c r="BM67" s="3" t="s">
        <v>201</v>
      </c>
      <c r="BN67" s="3" t="s">
        <v>201</v>
      </c>
      <c r="BO67" s="3" t="s">
        <v>201</v>
      </c>
      <c r="BP67" s="3" t="s">
        <v>201</v>
      </c>
      <c r="BQ67" s="3" t="s">
        <v>201</v>
      </c>
      <c r="BR67" s="3" t="s">
        <v>201</v>
      </c>
      <c r="BS67" s="3" t="s">
        <v>201</v>
      </c>
      <c r="BT67" s="3" t="s">
        <v>201</v>
      </c>
      <c r="BU67" s="3" t="s">
        <v>201</v>
      </c>
      <c r="BV67" s="3" t="s">
        <v>201</v>
      </c>
      <c r="BW67" s="3" t="s">
        <v>201</v>
      </c>
      <c r="BX67" s="3" t="s">
        <v>201</v>
      </c>
      <c r="BY67" s="3" t="s">
        <v>201</v>
      </c>
      <c r="BZ67" s="3" t="s">
        <v>201</v>
      </c>
      <c r="CA67" s="3" t="s">
        <v>201</v>
      </c>
      <c r="CB67" s="3" t="s">
        <v>201</v>
      </c>
      <c r="CC67" s="3" t="s">
        <v>201</v>
      </c>
      <c r="CD67" s="3" t="s">
        <v>201</v>
      </c>
      <c r="CE67" s="3" t="s">
        <v>201</v>
      </c>
      <c r="CF67" s="3" t="s">
        <v>201</v>
      </c>
      <c r="CG67" s="3" t="s">
        <v>201</v>
      </c>
      <c r="CH67" s="3" t="s">
        <v>201</v>
      </c>
      <c r="CI67" s="3" t="s">
        <v>201</v>
      </c>
      <c r="CJ67" s="3" t="s">
        <v>201</v>
      </c>
      <c r="CK67" s="3" t="s">
        <v>201</v>
      </c>
      <c r="CL67" s="3" t="s">
        <v>201</v>
      </c>
      <c r="CM67" s="3" t="s">
        <v>201</v>
      </c>
      <c r="CN67" s="3" t="s">
        <v>201</v>
      </c>
      <c r="CO67" s="3" t="s">
        <v>201</v>
      </c>
      <c r="CP67" s="3" t="s">
        <v>201</v>
      </c>
      <c r="CQ67" s="3" t="s">
        <v>201</v>
      </c>
      <c r="CR67" s="3" t="s">
        <v>201</v>
      </c>
      <c r="CS67" s="3" t="s">
        <v>201</v>
      </c>
      <c r="CT67" s="3" t="s">
        <v>201</v>
      </c>
      <c r="CU67" s="3" t="s">
        <v>201</v>
      </c>
      <c r="CV67" s="3" t="s">
        <v>201</v>
      </c>
      <c r="CW67" s="3" t="s">
        <v>201</v>
      </c>
      <c r="CX67" s="3" t="s">
        <v>201</v>
      </c>
      <c r="CY67" s="3" t="s">
        <v>201</v>
      </c>
      <c r="CZ67" s="3" t="s">
        <v>201</v>
      </c>
      <c r="DA67" s="3" t="s">
        <v>201</v>
      </c>
      <c r="DB67" s="3" t="s">
        <v>201</v>
      </c>
      <c r="DC67" s="3" t="s">
        <v>201</v>
      </c>
      <c r="DD67" s="3" t="s">
        <v>201</v>
      </c>
      <c r="DE67" s="3" t="s">
        <v>201</v>
      </c>
      <c r="DF67" s="3" t="s">
        <v>201</v>
      </c>
      <c r="DG67" s="3" t="s">
        <v>201</v>
      </c>
      <c r="DH67" s="3" t="s">
        <v>201</v>
      </c>
      <c r="DI67" s="3" t="s">
        <v>201</v>
      </c>
      <c r="DJ67" s="3" t="s">
        <v>201</v>
      </c>
      <c r="DK67" s="3" t="s">
        <v>201</v>
      </c>
      <c r="DL67" s="3" t="s">
        <v>201</v>
      </c>
      <c r="DM67" s="3" t="s">
        <v>201</v>
      </c>
      <c r="DN67" s="3" t="s">
        <v>201</v>
      </c>
      <c r="DO67" s="3" t="s">
        <v>201</v>
      </c>
      <c r="DP67" s="3" t="s">
        <v>201</v>
      </c>
      <c r="DQ67" s="3" t="s">
        <v>201</v>
      </c>
      <c r="DR67">
        <f t="shared" ref="DR67:DR121" si="2">YEAR($A67)</f>
        <v>2020</v>
      </c>
    </row>
    <row r="68" spans="1:122" x14ac:dyDescent="0.35">
      <c r="A68" s="1">
        <f t="shared" ref="A68:A121" si="3">DATE(YEAR(A67),MONTH(A67)+1,DAY(A67))</f>
        <v>44013</v>
      </c>
      <c r="B68" s="2">
        <v>77</v>
      </c>
      <c r="C68" s="2">
        <v>107</v>
      </c>
      <c r="D68" s="2">
        <v>59</v>
      </c>
      <c r="E68" s="2">
        <v>41</v>
      </c>
      <c r="F68" s="2">
        <v>80</v>
      </c>
      <c r="G68" s="2">
        <v>25</v>
      </c>
      <c r="H68" s="2">
        <v>24</v>
      </c>
      <c r="I68" s="2">
        <v>24</v>
      </c>
      <c r="J68" s="2">
        <v>26</v>
      </c>
      <c r="K68" s="2">
        <v>20</v>
      </c>
      <c r="L68" s="2">
        <v>22</v>
      </c>
      <c r="M68" s="2">
        <v>19</v>
      </c>
      <c r="N68" s="3">
        <v>18</v>
      </c>
      <c r="O68" s="3">
        <v>12</v>
      </c>
      <c r="P68" s="3">
        <v>11</v>
      </c>
      <c r="Q68" s="3">
        <v>13</v>
      </c>
      <c r="R68" s="3">
        <v>6</v>
      </c>
      <c r="S68" s="3">
        <v>6</v>
      </c>
      <c r="T68" s="3">
        <v>6</v>
      </c>
      <c r="U68" s="3">
        <v>8</v>
      </c>
      <c r="V68" s="3">
        <v>7</v>
      </c>
      <c r="W68" s="3">
        <v>5</v>
      </c>
      <c r="X68" s="3">
        <v>5</v>
      </c>
      <c r="Y68" s="3">
        <v>9</v>
      </c>
      <c r="Z68" s="3">
        <v>8</v>
      </c>
      <c r="AA68" s="3">
        <v>4</v>
      </c>
      <c r="AB68" s="3">
        <v>3</v>
      </c>
      <c r="AC68" s="3">
        <v>2</v>
      </c>
      <c r="AD68" s="3">
        <v>3</v>
      </c>
      <c r="AE68" s="3">
        <v>1</v>
      </c>
      <c r="AF68" s="3">
        <v>1</v>
      </c>
      <c r="AG68" s="3">
        <v>3</v>
      </c>
      <c r="AH68" s="3">
        <v>1</v>
      </c>
      <c r="AI68" s="3">
        <v>3</v>
      </c>
      <c r="AJ68" s="3">
        <v>5</v>
      </c>
      <c r="AK68" s="3">
        <v>4</v>
      </c>
      <c r="AL68" s="3">
        <v>5</v>
      </c>
      <c r="AM68" s="3">
        <v>2</v>
      </c>
      <c r="AN68" s="3">
        <v>0</v>
      </c>
      <c r="AO68" s="3">
        <v>0</v>
      </c>
      <c r="AP68" s="3">
        <v>0</v>
      </c>
      <c r="AQ68" s="3">
        <v>2</v>
      </c>
      <c r="AR68" s="3">
        <v>1</v>
      </c>
      <c r="AS68" s="3">
        <v>1</v>
      </c>
      <c r="AT68" s="3">
        <v>0</v>
      </c>
      <c r="AU68" s="3">
        <v>2</v>
      </c>
      <c r="AV68" s="3">
        <v>2</v>
      </c>
      <c r="AW68" s="3">
        <v>0</v>
      </c>
      <c r="AX68" s="3">
        <v>0</v>
      </c>
      <c r="AY68" s="3">
        <v>2</v>
      </c>
      <c r="AZ68" s="3">
        <v>0</v>
      </c>
      <c r="BA68" s="3">
        <v>1</v>
      </c>
      <c r="BB68" s="3">
        <v>0</v>
      </c>
      <c r="BC68" s="3">
        <v>0</v>
      </c>
      <c r="BD68" s="3" t="s">
        <v>201</v>
      </c>
      <c r="BE68" s="3" t="s">
        <v>201</v>
      </c>
      <c r="BF68" s="3" t="s">
        <v>201</v>
      </c>
      <c r="BG68" s="3" t="s">
        <v>201</v>
      </c>
      <c r="BH68" s="3" t="s">
        <v>201</v>
      </c>
      <c r="BI68" s="3" t="s">
        <v>201</v>
      </c>
      <c r="BJ68" s="3" t="s">
        <v>201</v>
      </c>
      <c r="BK68" s="3" t="s">
        <v>201</v>
      </c>
      <c r="BL68" s="3" t="s">
        <v>201</v>
      </c>
      <c r="BM68" s="3" t="s">
        <v>201</v>
      </c>
      <c r="BN68" s="3" t="s">
        <v>201</v>
      </c>
      <c r="BO68" s="3" t="s">
        <v>201</v>
      </c>
      <c r="BP68" s="3" t="s">
        <v>201</v>
      </c>
      <c r="BQ68" s="3" t="s">
        <v>201</v>
      </c>
      <c r="BR68" s="3" t="s">
        <v>201</v>
      </c>
      <c r="BS68" s="3" t="s">
        <v>201</v>
      </c>
      <c r="BT68" s="3" t="s">
        <v>201</v>
      </c>
      <c r="BU68" s="3" t="s">
        <v>201</v>
      </c>
      <c r="BV68" s="3" t="s">
        <v>201</v>
      </c>
      <c r="BW68" s="3" t="s">
        <v>201</v>
      </c>
      <c r="BX68" s="3" t="s">
        <v>201</v>
      </c>
      <c r="BY68" s="3" t="s">
        <v>201</v>
      </c>
      <c r="BZ68" s="3" t="s">
        <v>201</v>
      </c>
      <c r="CA68" s="3" t="s">
        <v>201</v>
      </c>
      <c r="CB68" s="3" t="s">
        <v>201</v>
      </c>
      <c r="CC68" s="3" t="s">
        <v>201</v>
      </c>
      <c r="CD68" s="3" t="s">
        <v>201</v>
      </c>
      <c r="CE68" s="3" t="s">
        <v>201</v>
      </c>
      <c r="CF68" s="3" t="s">
        <v>201</v>
      </c>
      <c r="CG68" s="3" t="s">
        <v>201</v>
      </c>
      <c r="CH68" s="3" t="s">
        <v>201</v>
      </c>
      <c r="CI68" s="3" t="s">
        <v>201</v>
      </c>
      <c r="CJ68" s="3" t="s">
        <v>201</v>
      </c>
      <c r="CK68" s="3" t="s">
        <v>201</v>
      </c>
      <c r="CL68" s="3" t="s">
        <v>201</v>
      </c>
      <c r="CM68" s="3" t="s">
        <v>201</v>
      </c>
      <c r="CN68" s="3" t="s">
        <v>201</v>
      </c>
      <c r="CO68" s="3" t="s">
        <v>201</v>
      </c>
      <c r="CP68" s="3" t="s">
        <v>201</v>
      </c>
      <c r="CQ68" s="3" t="s">
        <v>201</v>
      </c>
      <c r="CR68" s="3" t="s">
        <v>201</v>
      </c>
      <c r="CS68" s="3" t="s">
        <v>201</v>
      </c>
      <c r="CT68" s="3" t="s">
        <v>201</v>
      </c>
      <c r="CU68" s="3" t="s">
        <v>201</v>
      </c>
      <c r="CV68" s="3" t="s">
        <v>201</v>
      </c>
      <c r="CW68" s="3" t="s">
        <v>201</v>
      </c>
      <c r="CX68" s="3" t="s">
        <v>201</v>
      </c>
      <c r="CY68" s="3" t="s">
        <v>201</v>
      </c>
      <c r="CZ68" s="3" t="s">
        <v>201</v>
      </c>
      <c r="DA68" s="3" t="s">
        <v>201</v>
      </c>
      <c r="DB68" s="3" t="s">
        <v>201</v>
      </c>
      <c r="DC68" s="3" t="s">
        <v>201</v>
      </c>
      <c r="DD68" s="3" t="s">
        <v>201</v>
      </c>
      <c r="DE68" s="3" t="s">
        <v>201</v>
      </c>
      <c r="DF68" s="3" t="s">
        <v>201</v>
      </c>
      <c r="DG68" s="3" t="s">
        <v>201</v>
      </c>
      <c r="DH68" s="3" t="s">
        <v>201</v>
      </c>
      <c r="DI68" s="3" t="s">
        <v>201</v>
      </c>
      <c r="DJ68" s="3" t="s">
        <v>201</v>
      </c>
      <c r="DK68" s="3" t="s">
        <v>201</v>
      </c>
      <c r="DL68" s="3" t="s">
        <v>201</v>
      </c>
      <c r="DM68" s="3" t="s">
        <v>201</v>
      </c>
      <c r="DN68" s="3" t="s">
        <v>201</v>
      </c>
      <c r="DO68" s="3" t="s">
        <v>201</v>
      </c>
      <c r="DP68" s="3" t="s">
        <v>201</v>
      </c>
      <c r="DQ68" s="3" t="s">
        <v>201</v>
      </c>
      <c r="DR68">
        <f t="shared" si="2"/>
        <v>2020</v>
      </c>
    </row>
    <row r="69" spans="1:122" x14ac:dyDescent="0.35">
      <c r="A69" s="1">
        <f t="shared" si="3"/>
        <v>44044</v>
      </c>
      <c r="B69" s="2">
        <v>15</v>
      </c>
      <c r="C69" s="2">
        <v>33</v>
      </c>
      <c r="D69" s="2">
        <v>19</v>
      </c>
      <c r="E69" s="2">
        <v>33</v>
      </c>
      <c r="F69" s="2">
        <v>15</v>
      </c>
      <c r="G69" s="2">
        <v>25</v>
      </c>
      <c r="H69" s="2">
        <v>20</v>
      </c>
      <c r="I69" s="2">
        <v>21</v>
      </c>
      <c r="J69" s="2">
        <v>18</v>
      </c>
      <c r="K69" s="2">
        <v>8</v>
      </c>
      <c r="L69" s="2">
        <v>15</v>
      </c>
      <c r="M69" s="2">
        <v>10</v>
      </c>
      <c r="N69" s="3">
        <v>6</v>
      </c>
      <c r="O69" s="3">
        <v>10</v>
      </c>
      <c r="P69" s="3">
        <v>10</v>
      </c>
      <c r="Q69" s="3">
        <v>4</v>
      </c>
      <c r="R69" s="3">
        <v>7</v>
      </c>
      <c r="S69" s="3">
        <v>5</v>
      </c>
      <c r="T69" s="3">
        <v>2</v>
      </c>
      <c r="U69" s="3">
        <v>2</v>
      </c>
      <c r="V69" s="3">
        <v>4</v>
      </c>
      <c r="W69" s="3">
        <v>3</v>
      </c>
      <c r="X69" s="3">
        <v>2</v>
      </c>
      <c r="Y69" s="3">
        <v>5</v>
      </c>
      <c r="Z69" s="3">
        <v>3</v>
      </c>
      <c r="AA69" s="3">
        <v>2</v>
      </c>
      <c r="AB69" s="3">
        <v>1</v>
      </c>
      <c r="AC69" s="3">
        <v>5</v>
      </c>
      <c r="AD69" s="3">
        <v>0</v>
      </c>
      <c r="AE69" s="3">
        <v>1</v>
      </c>
      <c r="AF69" s="3">
        <v>2</v>
      </c>
      <c r="AG69" s="3">
        <v>0</v>
      </c>
      <c r="AH69" s="3">
        <v>1</v>
      </c>
      <c r="AI69" s="3">
        <v>2</v>
      </c>
      <c r="AJ69" s="3">
        <v>2</v>
      </c>
      <c r="AK69" s="3">
        <v>2</v>
      </c>
      <c r="AL69" s="3">
        <v>1</v>
      </c>
      <c r="AM69" s="3">
        <v>1</v>
      </c>
      <c r="AN69" s="3">
        <v>0</v>
      </c>
      <c r="AO69" s="3">
        <v>1</v>
      </c>
      <c r="AP69" s="3">
        <v>0</v>
      </c>
      <c r="AQ69" s="3">
        <v>2</v>
      </c>
      <c r="AR69" s="3">
        <v>1</v>
      </c>
      <c r="AS69" s="3">
        <v>0</v>
      </c>
      <c r="AT69" s="3">
        <v>1</v>
      </c>
      <c r="AU69" s="3">
        <v>1</v>
      </c>
      <c r="AV69" s="3">
        <v>1</v>
      </c>
      <c r="AW69" s="3">
        <v>0</v>
      </c>
      <c r="AX69" s="3">
        <v>1</v>
      </c>
      <c r="AY69" s="3">
        <v>1</v>
      </c>
      <c r="AZ69" s="3">
        <v>1</v>
      </c>
      <c r="BA69" s="3">
        <v>0</v>
      </c>
      <c r="BB69" s="3">
        <v>0</v>
      </c>
      <c r="BC69" s="3" t="s">
        <v>201</v>
      </c>
      <c r="BD69" s="3" t="s">
        <v>201</v>
      </c>
      <c r="BE69" s="3" t="s">
        <v>201</v>
      </c>
      <c r="BF69" s="3" t="s">
        <v>201</v>
      </c>
      <c r="BG69" s="3" t="s">
        <v>201</v>
      </c>
      <c r="BH69" s="3" t="s">
        <v>201</v>
      </c>
      <c r="BI69" s="3" t="s">
        <v>201</v>
      </c>
      <c r="BJ69" s="3" t="s">
        <v>201</v>
      </c>
      <c r="BK69" s="3" t="s">
        <v>201</v>
      </c>
      <c r="BL69" s="3" t="s">
        <v>201</v>
      </c>
      <c r="BM69" s="3" t="s">
        <v>201</v>
      </c>
      <c r="BN69" s="3" t="s">
        <v>201</v>
      </c>
      <c r="BO69" s="3" t="s">
        <v>201</v>
      </c>
      <c r="BP69" s="3" t="s">
        <v>201</v>
      </c>
      <c r="BQ69" s="3" t="s">
        <v>201</v>
      </c>
      <c r="BR69" s="3" t="s">
        <v>201</v>
      </c>
      <c r="BS69" s="3" t="s">
        <v>201</v>
      </c>
      <c r="BT69" s="3" t="s">
        <v>201</v>
      </c>
      <c r="BU69" s="3" t="s">
        <v>201</v>
      </c>
      <c r="BV69" s="3" t="s">
        <v>201</v>
      </c>
      <c r="BW69" s="3" t="s">
        <v>201</v>
      </c>
      <c r="BX69" s="3" t="s">
        <v>201</v>
      </c>
      <c r="BY69" s="3" t="s">
        <v>201</v>
      </c>
      <c r="BZ69" s="3" t="s">
        <v>201</v>
      </c>
      <c r="CA69" s="3" t="s">
        <v>201</v>
      </c>
      <c r="CB69" s="3" t="s">
        <v>201</v>
      </c>
      <c r="CC69" s="3" t="s">
        <v>201</v>
      </c>
      <c r="CD69" s="3" t="s">
        <v>201</v>
      </c>
      <c r="CE69" s="3" t="s">
        <v>201</v>
      </c>
      <c r="CF69" s="3" t="s">
        <v>201</v>
      </c>
      <c r="CG69" s="3" t="s">
        <v>201</v>
      </c>
      <c r="CH69" s="3" t="s">
        <v>201</v>
      </c>
      <c r="CI69" s="3" t="s">
        <v>201</v>
      </c>
      <c r="CJ69" s="3" t="s">
        <v>201</v>
      </c>
      <c r="CK69" s="3" t="s">
        <v>201</v>
      </c>
      <c r="CL69" s="3" t="s">
        <v>201</v>
      </c>
      <c r="CM69" s="3" t="s">
        <v>201</v>
      </c>
      <c r="CN69" s="3" t="s">
        <v>201</v>
      </c>
      <c r="CO69" s="3" t="s">
        <v>201</v>
      </c>
      <c r="CP69" s="3" t="s">
        <v>201</v>
      </c>
      <c r="CQ69" s="3" t="s">
        <v>201</v>
      </c>
      <c r="CR69" s="3" t="s">
        <v>201</v>
      </c>
      <c r="CS69" s="3" t="s">
        <v>201</v>
      </c>
      <c r="CT69" s="3" t="s">
        <v>201</v>
      </c>
      <c r="CU69" s="3" t="s">
        <v>201</v>
      </c>
      <c r="CV69" s="3" t="s">
        <v>201</v>
      </c>
      <c r="CW69" s="3" t="s">
        <v>201</v>
      </c>
      <c r="CX69" s="3" t="s">
        <v>201</v>
      </c>
      <c r="CY69" s="3" t="s">
        <v>201</v>
      </c>
      <c r="CZ69" s="3" t="s">
        <v>201</v>
      </c>
      <c r="DA69" s="3" t="s">
        <v>201</v>
      </c>
      <c r="DB69" s="3" t="s">
        <v>201</v>
      </c>
      <c r="DC69" s="3" t="s">
        <v>201</v>
      </c>
      <c r="DD69" s="3" t="s">
        <v>201</v>
      </c>
      <c r="DE69" s="3" t="s">
        <v>201</v>
      </c>
      <c r="DF69" s="3" t="s">
        <v>201</v>
      </c>
      <c r="DG69" s="3" t="s">
        <v>201</v>
      </c>
      <c r="DH69" s="3" t="s">
        <v>201</v>
      </c>
      <c r="DI69" s="3" t="s">
        <v>201</v>
      </c>
      <c r="DJ69" s="3" t="s">
        <v>201</v>
      </c>
      <c r="DK69" s="3" t="s">
        <v>201</v>
      </c>
      <c r="DL69" s="3" t="s">
        <v>201</v>
      </c>
      <c r="DM69" s="3" t="s">
        <v>201</v>
      </c>
      <c r="DN69" s="3" t="s">
        <v>201</v>
      </c>
      <c r="DO69" s="3" t="s">
        <v>201</v>
      </c>
      <c r="DP69" s="3" t="s">
        <v>201</v>
      </c>
      <c r="DQ69" s="3" t="s">
        <v>201</v>
      </c>
      <c r="DR69">
        <f t="shared" si="2"/>
        <v>2020</v>
      </c>
    </row>
    <row r="70" spans="1:122" x14ac:dyDescent="0.35">
      <c r="A70" s="1">
        <f t="shared" si="3"/>
        <v>44075</v>
      </c>
      <c r="B70" s="2">
        <v>19</v>
      </c>
      <c r="C70" s="2">
        <v>44</v>
      </c>
      <c r="D70" s="2">
        <v>114</v>
      </c>
      <c r="E70" s="2">
        <v>15</v>
      </c>
      <c r="F70" s="2">
        <v>9</v>
      </c>
      <c r="G70" s="2">
        <v>20</v>
      </c>
      <c r="H70" s="2">
        <v>15</v>
      </c>
      <c r="I70" s="2">
        <v>11</v>
      </c>
      <c r="J70" s="2">
        <v>12</v>
      </c>
      <c r="K70" s="2">
        <v>17</v>
      </c>
      <c r="L70" s="2">
        <v>7</v>
      </c>
      <c r="M70" s="2">
        <v>9</v>
      </c>
      <c r="N70" s="3">
        <v>12</v>
      </c>
      <c r="O70" s="3">
        <v>6</v>
      </c>
      <c r="P70" s="3">
        <v>9</v>
      </c>
      <c r="Q70" s="3">
        <v>3</v>
      </c>
      <c r="R70" s="3">
        <v>2</v>
      </c>
      <c r="S70" s="3">
        <v>4</v>
      </c>
      <c r="T70" s="3">
        <v>3</v>
      </c>
      <c r="U70" s="3">
        <v>5</v>
      </c>
      <c r="V70" s="3">
        <v>4</v>
      </c>
      <c r="W70" s="3">
        <v>10</v>
      </c>
      <c r="X70" s="3">
        <v>2</v>
      </c>
      <c r="Y70" s="3">
        <v>2</v>
      </c>
      <c r="Z70" s="3">
        <v>3</v>
      </c>
      <c r="AA70" s="3">
        <v>3</v>
      </c>
      <c r="AB70" s="3">
        <v>3</v>
      </c>
      <c r="AC70" s="3">
        <v>1</v>
      </c>
      <c r="AD70" s="3">
        <v>2</v>
      </c>
      <c r="AE70" s="3">
        <v>3</v>
      </c>
      <c r="AF70" s="3">
        <v>1</v>
      </c>
      <c r="AG70" s="3">
        <v>2</v>
      </c>
      <c r="AH70" s="3">
        <v>1</v>
      </c>
      <c r="AI70" s="3">
        <v>3</v>
      </c>
      <c r="AJ70" s="3">
        <v>0</v>
      </c>
      <c r="AK70" s="3">
        <v>3</v>
      </c>
      <c r="AL70" s="3">
        <v>0</v>
      </c>
      <c r="AM70" s="3">
        <v>1</v>
      </c>
      <c r="AN70" s="3">
        <v>0</v>
      </c>
      <c r="AO70" s="3">
        <v>2</v>
      </c>
      <c r="AP70" s="3">
        <v>2</v>
      </c>
      <c r="AQ70" s="3">
        <v>0</v>
      </c>
      <c r="AR70" s="3">
        <v>1</v>
      </c>
      <c r="AS70" s="3">
        <v>0</v>
      </c>
      <c r="AT70" s="3">
        <v>1</v>
      </c>
      <c r="AU70" s="3">
        <v>0</v>
      </c>
      <c r="AV70" s="3">
        <v>0</v>
      </c>
      <c r="AW70" s="3">
        <v>1</v>
      </c>
      <c r="AX70" s="3">
        <v>1</v>
      </c>
      <c r="AY70" s="3">
        <v>1</v>
      </c>
      <c r="AZ70" s="3">
        <v>0</v>
      </c>
      <c r="BA70" s="3">
        <v>0</v>
      </c>
      <c r="BB70" s="3" t="s">
        <v>201</v>
      </c>
      <c r="BC70" s="3" t="s">
        <v>201</v>
      </c>
      <c r="BD70" s="3" t="s">
        <v>201</v>
      </c>
      <c r="BE70" s="3" t="s">
        <v>201</v>
      </c>
      <c r="BF70" s="3" t="s">
        <v>201</v>
      </c>
      <c r="BG70" s="3" t="s">
        <v>201</v>
      </c>
      <c r="BH70" s="3" t="s">
        <v>201</v>
      </c>
      <c r="BI70" s="3" t="s">
        <v>201</v>
      </c>
      <c r="BJ70" s="3" t="s">
        <v>201</v>
      </c>
      <c r="BK70" s="3" t="s">
        <v>201</v>
      </c>
      <c r="BL70" s="3" t="s">
        <v>201</v>
      </c>
      <c r="BM70" s="3" t="s">
        <v>201</v>
      </c>
      <c r="BN70" s="3" t="s">
        <v>201</v>
      </c>
      <c r="BO70" s="3" t="s">
        <v>201</v>
      </c>
      <c r="BP70" s="3" t="s">
        <v>201</v>
      </c>
      <c r="BQ70" s="3" t="s">
        <v>201</v>
      </c>
      <c r="BR70" s="3" t="s">
        <v>201</v>
      </c>
      <c r="BS70" s="3" t="s">
        <v>201</v>
      </c>
      <c r="BT70" s="3" t="s">
        <v>201</v>
      </c>
      <c r="BU70" s="3" t="s">
        <v>201</v>
      </c>
      <c r="BV70" s="3" t="s">
        <v>201</v>
      </c>
      <c r="BW70" s="3" t="s">
        <v>201</v>
      </c>
      <c r="BX70" s="3" t="s">
        <v>201</v>
      </c>
      <c r="BY70" s="3" t="s">
        <v>201</v>
      </c>
      <c r="BZ70" s="3" t="s">
        <v>201</v>
      </c>
      <c r="CA70" s="3" t="s">
        <v>201</v>
      </c>
      <c r="CB70" s="3" t="s">
        <v>201</v>
      </c>
      <c r="CC70" s="3" t="s">
        <v>201</v>
      </c>
      <c r="CD70" s="3" t="s">
        <v>201</v>
      </c>
      <c r="CE70" s="3" t="s">
        <v>201</v>
      </c>
      <c r="CF70" s="3" t="s">
        <v>201</v>
      </c>
      <c r="CG70" s="3" t="s">
        <v>201</v>
      </c>
      <c r="CH70" s="3" t="s">
        <v>201</v>
      </c>
      <c r="CI70" s="3" t="s">
        <v>201</v>
      </c>
      <c r="CJ70" s="3" t="s">
        <v>201</v>
      </c>
      <c r="CK70" s="3" t="s">
        <v>201</v>
      </c>
      <c r="CL70" s="3" t="s">
        <v>201</v>
      </c>
      <c r="CM70" s="3" t="s">
        <v>201</v>
      </c>
      <c r="CN70" s="3" t="s">
        <v>201</v>
      </c>
      <c r="CO70" s="3" t="s">
        <v>201</v>
      </c>
      <c r="CP70" s="3" t="s">
        <v>201</v>
      </c>
      <c r="CQ70" s="3" t="s">
        <v>201</v>
      </c>
      <c r="CR70" s="3" t="s">
        <v>201</v>
      </c>
      <c r="CS70" s="3" t="s">
        <v>201</v>
      </c>
      <c r="CT70" s="3" t="s">
        <v>201</v>
      </c>
      <c r="CU70" s="3" t="s">
        <v>201</v>
      </c>
      <c r="CV70" s="3" t="s">
        <v>201</v>
      </c>
      <c r="CW70" s="3" t="s">
        <v>201</v>
      </c>
      <c r="CX70" s="3" t="s">
        <v>201</v>
      </c>
      <c r="CY70" s="3" t="s">
        <v>201</v>
      </c>
      <c r="CZ70" s="3" t="s">
        <v>201</v>
      </c>
      <c r="DA70" s="3" t="s">
        <v>201</v>
      </c>
      <c r="DB70" s="3" t="s">
        <v>201</v>
      </c>
      <c r="DC70" s="3" t="s">
        <v>201</v>
      </c>
      <c r="DD70" s="3" t="s">
        <v>201</v>
      </c>
      <c r="DE70" s="3" t="s">
        <v>201</v>
      </c>
      <c r="DF70" s="3" t="s">
        <v>201</v>
      </c>
      <c r="DG70" s="3" t="s">
        <v>201</v>
      </c>
      <c r="DH70" s="3" t="s">
        <v>201</v>
      </c>
      <c r="DI70" s="3" t="s">
        <v>201</v>
      </c>
      <c r="DJ70" s="3" t="s">
        <v>201</v>
      </c>
      <c r="DK70" s="3" t="s">
        <v>201</v>
      </c>
      <c r="DL70" s="3" t="s">
        <v>201</v>
      </c>
      <c r="DM70" s="3" t="s">
        <v>201</v>
      </c>
      <c r="DN70" s="3" t="s">
        <v>201</v>
      </c>
      <c r="DO70" s="3" t="s">
        <v>201</v>
      </c>
      <c r="DP70" s="3" t="s">
        <v>201</v>
      </c>
      <c r="DQ70" s="3" t="s">
        <v>201</v>
      </c>
      <c r="DR70">
        <f t="shared" si="2"/>
        <v>2020</v>
      </c>
    </row>
    <row r="71" spans="1:122" x14ac:dyDescent="0.35">
      <c r="A71" s="1">
        <f t="shared" si="3"/>
        <v>44105</v>
      </c>
      <c r="B71" s="2">
        <v>35</v>
      </c>
      <c r="C71" s="2">
        <v>186</v>
      </c>
      <c r="D71" s="2">
        <v>30</v>
      </c>
      <c r="E71" s="2">
        <v>28</v>
      </c>
      <c r="F71" s="2">
        <v>29</v>
      </c>
      <c r="G71" s="2">
        <v>33</v>
      </c>
      <c r="H71" s="2">
        <v>24</v>
      </c>
      <c r="I71" s="2">
        <v>28</v>
      </c>
      <c r="J71" s="2">
        <v>17</v>
      </c>
      <c r="K71" s="2">
        <v>17</v>
      </c>
      <c r="L71" s="2">
        <v>15</v>
      </c>
      <c r="M71" s="2">
        <v>18</v>
      </c>
      <c r="N71" s="3">
        <v>12</v>
      </c>
      <c r="O71" s="3">
        <v>11</v>
      </c>
      <c r="P71" s="3">
        <v>13</v>
      </c>
      <c r="Q71" s="3">
        <v>5</v>
      </c>
      <c r="R71" s="3">
        <v>3</v>
      </c>
      <c r="S71" s="3">
        <v>3</v>
      </c>
      <c r="T71" s="3">
        <v>8</v>
      </c>
      <c r="U71" s="3">
        <v>5</v>
      </c>
      <c r="V71" s="3">
        <v>10</v>
      </c>
      <c r="W71" s="3">
        <v>7</v>
      </c>
      <c r="X71" s="3">
        <v>3</v>
      </c>
      <c r="Y71" s="3">
        <v>4</v>
      </c>
      <c r="Z71" s="3">
        <v>5</v>
      </c>
      <c r="AA71" s="3">
        <v>3</v>
      </c>
      <c r="AB71" s="3">
        <v>4</v>
      </c>
      <c r="AC71" s="3">
        <v>0</v>
      </c>
      <c r="AD71" s="3">
        <v>1</v>
      </c>
      <c r="AE71" s="3">
        <v>2</v>
      </c>
      <c r="AF71" s="3">
        <v>4</v>
      </c>
      <c r="AG71" s="3">
        <v>2</v>
      </c>
      <c r="AH71" s="3">
        <v>2</v>
      </c>
      <c r="AI71" s="3">
        <v>3</v>
      </c>
      <c r="AJ71" s="3">
        <v>3</v>
      </c>
      <c r="AK71" s="3">
        <v>1</v>
      </c>
      <c r="AL71" s="3">
        <v>2</v>
      </c>
      <c r="AM71" s="3">
        <v>1</v>
      </c>
      <c r="AN71" s="3">
        <v>2</v>
      </c>
      <c r="AO71" s="3">
        <v>1</v>
      </c>
      <c r="AP71" s="3">
        <v>0</v>
      </c>
      <c r="AQ71" s="3">
        <v>2</v>
      </c>
      <c r="AR71" s="3">
        <v>0</v>
      </c>
      <c r="AS71" s="3">
        <v>1</v>
      </c>
      <c r="AT71" s="3">
        <v>0</v>
      </c>
      <c r="AU71" s="3">
        <v>2</v>
      </c>
      <c r="AV71" s="3">
        <v>1</v>
      </c>
      <c r="AW71" s="3">
        <v>0</v>
      </c>
      <c r="AX71" s="3">
        <v>1</v>
      </c>
      <c r="AY71" s="3">
        <v>1</v>
      </c>
      <c r="AZ71" s="3">
        <v>0</v>
      </c>
      <c r="BA71" s="3" t="s">
        <v>201</v>
      </c>
      <c r="BB71" s="3" t="s">
        <v>201</v>
      </c>
      <c r="BC71" s="3" t="s">
        <v>201</v>
      </c>
      <c r="BD71" s="3" t="s">
        <v>201</v>
      </c>
      <c r="BE71" s="3" t="s">
        <v>201</v>
      </c>
      <c r="BF71" s="3" t="s">
        <v>201</v>
      </c>
      <c r="BG71" s="3" t="s">
        <v>201</v>
      </c>
      <c r="BH71" s="3" t="s">
        <v>201</v>
      </c>
      <c r="BI71" s="3" t="s">
        <v>201</v>
      </c>
      <c r="BJ71" s="3" t="s">
        <v>201</v>
      </c>
      <c r="BK71" s="3" t="s">
        <v>201</v>
      </c>
      <c r="BL71" s="3" t="s">
        <v>201</v>
      </c>
      <c r="BM71" s="3" t="s">
        <v>201</v>
      </c>
      <c r="BN71" s="3" t="s">
        <v>201</v>
      </c>
      <c r="BO71" s="3" t="s">
        <v>201</v>
      </c>
      <c r="BP71" s="3" t="s">
        <v>201</v>
      </c>
      <c r="BQ71" s="3" t="s">
        <v>201</v>
      </c>
      <c r="BR71" s="3" t="s">
        <v>201</v>
      </c>
      <c r="BS71" s="3" t="s">
        <v>201</v>
      </c>
      <c r="BT71" s="3" t="s">
        <v>201</v>
      </c>
      <c r="BU71" s="3" t="s">
        <v>201</v>
      </c>
      <c r="BV71" s="3" t="s">
        <v>201</v>
      </c>
      <c r="BW71" s="3" t="s">
        <v>201</v>
      </c>
      <c r="BX71" s="3" t="s">
        <v>201</v>
      </c>
      <c r="BY71" s="3" t="s">
        <v>201</v>
      </c>
      <c r="BZ71" s="3" t="s">
        <v>201</v>
      </c>
      <c r="CA71" s="3" t="s">
        <v>201</v>
      </c>
      <c r="CB71" s="3" t="s">
        <v>201</v>
      </c>
      <c r="CC71" s="3" t="s">
        <v>201</v>
      </c>
      <c r="CD71" s="3" t="s">
        <v>201</v>
      </c>
      <c r="CE71" s="3" t="s">
        <v>201</v>
      </c>
      <c r="CF71" s="3" t="s">
        <v>201</v>
      </c>
      <c r="CG71" s="3" t="s">
        <v>201</v>
      </c>
      <c r="CH71" s="3" t="s">
        <v>201</v>
      </c>
      <c r="CI71" s="3" t="s">
        <v>201</v>
      </c>
      <c r="CJ71" s="3" t="s">
        <v>201</v>
      </c>
      <c r="CK71" s="3" t="s">
        <v>201</v>
      </c>
      <c r="CL71" s="3" t="s">
        <v>201</v>
      </c>
      <c r="CM71" s="3" t="s">
        <v>201</v>
      </c>
      <c r="CN71" s="3" t="s">
        <v>201</v>
      </c>
      <c r="CO71" s="3" t="s">
        <v>201</v>
      </c>
      <c r="CP71" s="3" t="s">
        <v>201</v>
      </c>
      <c r="CQ71" s="3" t="s">
        <v>201</v>
      </c>
      <c r="CR71" s="3" t="s">
        <v>201</v>
      </c>
      <c r="CS71" s="3" t="s">
        <v>201</v>
      </c>
      <c r="CT71" s="3" t="s">
        <v>201</v>
      </c>
      <c r="CU71" s="3" t="s">
        <v>201</v>
      </c>
      <c r="CV71" s="3" t="s">
        <v>201</v>
      </c>
      <c r="CW71" s="3" t="s">
        <v>201</v>
      </c>
      <c r="CX71" s="3" t="s">
        <v>201</v>
      </c>
      <c r="CY71" s="3" t="s">
        <v>201</v>
      </c>
      <c r="CZ71" s="3" t="s">
        <v>201</v>
      </c>
      <c r="DA71" s="3" t="s">
        <v>201</v>
      </c>
      <c r="DB71" s="3" t="s">
        <v>201</v>
      </c>
      <c r="DC71" s="3" t="s">
        <v>201</v>
      </c>
      <c r="DD71" s="3" t="s">
        <v>201</v>
      </c>
      <c r="DE71" s="3" t="s">
        <v>201</v>
      </c>
      <c r="DF71" s="3" t="s">
        <v>201</v>
      </c>
      <c r="DG71" s="3" t="s">
        <v>201</v>
      </c>
      <c r="DH71" s="3" t="s">
        <v>201</v>
      </c>
      <c r="DI71" s="3" t="s">
        <v>201</v>
      </c>
      <c r="DJ71" s="3" t="s">
        <v>201</v>
      </c>
      <c r="DK71" s="3" t="s">
        <v>201</v>
      </c>
      <c r="DL71" s="3" t="s">
        <v>201</v>
      </c>
      <c r="DM71" s="3" t="s">
        <v>201</v>
      </c>
      <c r="DN71" s="3" t="s">
        <v>201</v>
      </c>
      <c r="DO71" s="3" t="s">
        <v>201</v>
      </c>
      <c r="DP71" s="3" t="s">
        <v>201</v>
      </c>
      <c r="DQ71" s="3" t="s">
        <v>201</v>
      </c>
      <c r="DR71">
        <f t="shared" si="2"/>
        <v>2020</v>
      </c>
    </row>
    <row r="72" spans="1:122" x14ac:dyDescent="0.35">
      <c r="A72" s="1">
        <f t="shared" si="3"/>
        <v>44136</v>
      </c>
      <c r="B72" s="2">
        <v>35</v>
      </c>
      <c r="C72" s="2">
        <v>40</v>
      </c>
      <c r="D72" s="2">
        <v>32</v>
      </c>
      <c r="E72" s="2">
        <v>24</v>
      </c>
      <c r="F72" s="2">
        <v>23</v>
      </c>
      <c r="G72" s="2">
        <v>24</v>
      </c>
      <c r="H72" s="2">
        <v>14</v>
      </c>
      <c r="I72" s="2">
        <v>23</v>
      </c>
      <c r="J72" s="2">
        <v>6</v>
      </c>
      <c r="K72" s="2">
        <v>6</v>
      </c>
      <c r="L72" s="2">
        <v>11</v>
      </c>
      <c r="M72" s="2">
        <v>10</v>
      </c>
      <c r="N72" s="3">
        <v>11</v>
      </c>
      <c r="O72" s="3">
        <v>5</v>
      </c>
      <c r="P72" s="3">
        <v>7</v>
      </c>
      <c r="Q72" s="3">
        <v>4</v>
      </c>
      <c r="R72" s="3">
        <v>6</v>
      </c>
      <c r="S72" s="3">
        <v>4</v>
      </c>
      <c r="T72" s="3">
        <v>5</v>
      </c>
      <c r="U72" s="3">
        <v>5</v>
      </c>
      <c r="V72" s="3">
        <v>9</v>
      </c>
      <c r="W72" s="3">
        <v>5</v>
      </c>
      <c r="X72" s="3">
        <v>1</v>
      </c>
      <c r="Y72" s="3">
        <v>3</v>
      </c>
      <c r="Z72" s="3">
        <v>4</v>
      </c>
      <c r="AA72" s="3">
        <v>3</v>
      </c>
      <c r="AB72" s="3">
        <v>2</v>
      </c>
      <c r="AC72" s="3">
        <v>2</v>
      </c>
      <c r="AD72" s="3">
        <v>0</v>
      </c>
      <c r="AE72" s="3">
        <v>3</v>
      </c>
      <c r="AF72" s="3">
        <v>1</v>
      </c>
      <c r="AG72" s="3">
        <v>3</v>
      </c>
      <c r="AH72" s="3">
        <v>3</v>
      </c>
      <c r="AI72" s="3">
        <v>2</v>
      </c>
      <c r="AJ72" s="3">
        <v>1</v>
      </c>
      <c r="AK72" s="3">
        <v>2</v>
      </c>
      <c r="AL72" s="3">
        <v>1</v>
      </c>
      <c r="AM72" s="3">
        <v>1</v>
      </c>
      <c r="AN72" s="3">
        <v>0</v>
      </c>
      <c r="AO72" s="3">
        <v>0</v>
      </c>
      <c r="AP72" s="3">
        <v>2</v>
      </c>
      <c r="AQ72" s="3">
        <v>2</v>
      </c>
      <c r="AR72" s="3">
        <v>1</v>
      </c>
      <c r="AS72" s="3">
        <v>2</v>
      </c>
      <c r="AT72" s="3">
        <v>2</v>
      </c>
      <c r="AU72" s="3">
        <v>0</v>
      </c>
      <c r="AV72" s="3">
        <v>1</v>
      </c>
      <c r="AW72" s="3">
        <v>1</v>
      </c>
      <c r="AX72" s="3">
        <v>0</v>
      </c>
      <c r="AY72" s="3">
        <v>0</v>
      </c>
      <c r="AZ72" s="3" t="s">
        <v>201</v>
      </c>
      <c r="BA72" s="3" t="s">
        <v>201</v>
      </c>
      <c r="BB72" s="3" t="s">
        <v>201</v>
      </c>
      <c r="BC72" s="3" t="s">
        <v>201</v>
      </c>
      <c r="BD72" s="3" t="s">
        <v>201</v>
      </c>
      <c r="BE72" s="3" t="s">
        <v>201</v>
      </c>
      <c r="BF72" s="3" t="s">
        <v>201</v>
      </c>
      <c r="BG72" s="3" t="s">
        <v>201</v>
      </c>
      <c r="BH72" s="3" t="s">
        <v>201</v>
      </c>
      <c r="BI72" s="3" t="s">
        <v>201</v>
      </c>
      <c r="BJ72" s="3" t="s">
        <v>201</v>
      </c>
      <c r="BK72" s="3" t="s">
        <v>201</v>
      </c>
      <c r="BL72" s="3" t="s">
        <v>201</v>
      </c>
      <c r="BM72" s="3" t="s">
        <v>201</v>
      </c>
      <c r="BN72" s="3" t="s">
        <v>201</v>
      </c>
      <c r="BO72" s="3" t="s">
        <v>201</v>
      </c>
      <c r="BP72" s="3" t="s">
        <v>201</v>
      </c>
      <c r="BQ72" s="3" t="s">
        <v>201</v>
      </c>
      <c r="BR72" s="3" t="s">
        <v>201</v>
      </c>
      <c r="BS72" s="3" t="s">
        <v>201</v>
      </c>
      <c r="BT72" s="3" t="s">
        <v>201</v>
      </c>
      <c r="BU72" s="3" t="s">
        <v>201</v>
      </c>
      <c r="BV72" s="3" t="s">
        <v>201</v>
      </c>
      <c r="BW72" s="3" t="s">
        <v>201</v>
      </c>
      <c r="BX72" s="3" t="s">
        <v>201</v>
      </c>
      <c r="BY72" s="3" t="s">
        <v>201</v>
      </c>
      <c r="BZ72" s="3" t="s">
        <v>201</v>
      </c>
      <c r="CA72" s="3" t="s">
        <v>201</v>
      </c>
      <c r="CB72" s="3" t="s">
        <v>201</v>
      </c>
      <c r="CC72" s="3" t="s">
        <v>201</v>
      </c>
      <c r="CD72" s="3" t="s">
        <v>201</v>
      </c>
      <c r="CE72" s="3" t="s">
        <v>201</v>
      </c>
      <c r="CF72" s="3" t="s">
        <v>201</v>
      </c>
      <c r="CG72" s="3" t="s">
        <v>201</v>
      </c>
      <c r="CH72" s="3" t="s">
        <v>201</v>
      </c>
      <c r="CI72" s="3" t="s">
        <v>201</v>
      </c>
      <c r="CJ72" s="3" t="s">
        <v>201</v>
      </c>
      <c r="CK72" s="3" t="s">
        <v>201</v>
      </c>
      <c r="CL72" s="3" t="s">
        <v>201</v>
      </c>
      <c r="CM72" s="3" t="s">
        <v>201</v>
      </c>
      <c r="CN72" s="3" t="s">
        <v>201</v>
      </c>
      <c r="CO72" s="3" t="s">
        <v>201</v>
      </c>
      <c r="CP72" s="3" t="s">
        <v>201</v>
      </c>
      <c r="CQ72" s="3" t="s">
        <v>201</v>
      </c>
      <c r="CR72" s="3" t="s">
        <v>201</v>
      </c>
      <c r="CS72" s="3" t="s">
        <v>201</v>
      </c>
      <c r="CT72" s="3" t="s">
        <v>201</v>
      </c>
      <c r="CU72" s="3" t="s">
        <v>201</v>
      </c>
      <c r="CV72" s="3" t="s">
        <v>201</v>
      </c>
      <c r="CW72" s="3" t="s">
        <v>201</v>
      </c>
      <c r="CX72" s="3" t="s">
        <v>201</v>
      </c>
      <c r="CY72" s="3" t="s">
        <v>201</v>
      </c>
      <c r="CZ72" s="3" t="s">
        <v>201</v>
      </c>
      <c r="DA72" s="3" t="s">
        <v>201</v>
      </c>
      <c r="DB72" s="3" t="s">
        <v>201</v>
      </c>
      <c r="DC72" s="3" t="s">
        <v>201</v>
      </c>
      <c r="DD72" s="3" t="s">
        <v>201</v>
      </c>
      <c r="DE72" s="3" t="s">
        <v>201</v>
      </c>
      <c r="DF72" s="3" t="s">
        <v>201</v>
      </c>
      <c r="DG72" s="3" t="s">
        <v>201</v>
      </c>
      <c r="DH72" s="3" t="s">
        <v>201</v>
      </c>
      <c r="DI72" s="3" t="s">
        <v>201</v>
      </c>
      <c r="DJ72" s="3" t="s">
        <v>201</v>
      </c>
      <c r="DK72" s="3" t="s">
        <v>201</v>
      </c>
      <c r="DL72" s="3" t="s">
        <v>201</v>
      </c>
      <c r="DM72" s="3" t="s">
        <v>201</v>
      </c>
      <c r="DN72" s="3" t="s">
        <v>201</v>
      </c>
      <c r="DO72" s="3" t="s">
        <v>201</v>
      </c>
      <c r="DP72" s="3" t="s">
        <v>201</v>
      </c>
      <c r="DQ72" s="3" t="s">
        <v>201</v>
      </c>
      <c r="DR72">
        <f t="shared" si="2"/>
        <v>2020</v>
      </c>
    </row>
    <row r="73" spans="1:122" x14ac:dyDescent="0.35">
      <c r="A73" s="1">
        <f t="shared" si="3"/>
        <v>44166</v>
      </c>
      <c r="B73" s="2">
        <v>16</v>
      </c>
      <c r="C73" s="2">
        <v>14</v>
      </c>
      <c r="D73" s="2">
        <v>18</v>
      </c>
      <c r="E73" s="2">
        <v>4</v>
      </c>
      <c r="F73" s="2">
        <v>7</v>
      </c>
      <c r="G73" s="2">
        <v>3</v>
      </c>
      <c r="H73" s="2">
        <v>4</v>
      </c>
      <c r="I73" s="2">
        <v>4</v>
      </c>
      <c r="J73" s="2">
        <v>2</v>
      </c>
      <c r="K73" s="2">
        <v>8</v>
      </c>
      <c r="L73" s="2">
        <v>3</v>
      </c>
      <c r="M73" s="2">
        <v>5</v>
      </c>
      <c r="N73" s="3">
        <v>6</v>
      </c>
      <c r="O73" s="3">
        <v>6</v>
      </c>
      <c r="P73" s="3">
        <v>2</v>
      </c>
      <c r="Q73" s="3">
        <v>5</v>
      </c>
      <c r="R73" s="3">
        <v>7</v>
      </c>
      <c r="S73" s="3">
        <v>3</v>
      </c>
      <c r="T73" s="3">
        <v>1</v>
      </c>
      <c r="U73" s="3">
        <v>1</v>
      </c>
      <c r="V73" s="3">
        <v>1</v>
      </c>
      <c r="W73" s="3">
        <v>3</v>
      </c>
      <c r="X73" s="3">
        <v>0</v>
      </c>
      <c r="Y73" s="3">
        <v>0</v>
      </c>
      <c r="Z73" s="3">
        <v>2</v>
      </c>
      <c r="AA73" s="3">
        <v>1</v>
      </c>
      <c r="AB73" s="3">
        <v>1</v>
      </c>
      <c r="AC73" s="3">
        <v>0</v>
      </c>
      <c r="AD73" s="3">
        <v>1</v>
      </c>
      <c r="AE73" s="3">
        <v>2</v>
      </c>
      <c r="AF73" s="3">
        <v>1</v>
      </c>
      <c r="AG73" s="3">
        <v>0</v>
      </c>
      <c r="AH73" s="3">
        <v>0</v>
      </c>
      <c r="AI73" s="3">
        <v>3</v>
      </c>
      <c r="AJ73" s="3">
        <v>1</v>
      </c>
      <c r="AK73" s="3">
        <v>0</v>
      </c>
      <c r="AL73" s="3">
        <v>1</v>
      </c>
      <c r="AM73" s="3">
        <v>0</v>
      </c>
      <c r="AN73" s="3">
        <v>1</v>
      </c>
      <c r="AO73" s="3">
        <v>2</v>
      </c>
      <c r="AP73" s="3">
        <v>0</v>
      </c>
      <c r="AQ73" s="3">
        <v>1</v>
      </c>
      <c r="AR73" s="3">
        <v>0</v>
      </c>
      <c r="AS73" s="3">
        <v>1</v>
      </c>
      <c r="AT73" s="3">
        <v>0</v>
      </c>
      <c r="AU73" s="3">
        <v>1</v>
      </c>
      <c r="AV73" s="3">
        <v>0</v>
      </c>
      <c r="AW73" s="3">
        <v>1</v>
      </c>
      <c r="AX73" s="3">
        <v>0</v>
      </c>
      <c r="AY73" s="3" t="s">
        <v>201</v>
      </c>
      <c r="AZ73" s="3" t="s">
        <v>201</v>
      </c>
      <c r="BA73" s="3" t="s">
        <v>201</v>
      </c>
      <c r="BB73" s="3" t="s">
        <v>201</v>
      </c>
      <c r="BC73" s="3" t="s">
        <v>201</v>
      </c>
      <c r="BD73" s="3" t="s">
        <v>201</v>
      </c>
      <c r="BE73" s="3" t="s">
        <v>201</v>
      </c>
      <c r="BF73" s="3" t="s">
        <v>201</v>
      </c>
      <c r="BG73" s="3" t="s">
        <v>201</v>
      </c>
      <c r="BH73" s="3" t="s">
        <v>201</v>
      </c>
      <c r="BI73" s="3" t="s">
        <v>201</v>
      </c>
      <c r="BJ73" s="3" t="s">
        <v>201</v>
      </c>
      <c r="BK73" s="3" t="s">
        <v>201</v>
      </c>
      <c r="BL73" s="3" t="s">
        <v>201</v>
      </c>
      <c r="BM73" s="3" t="s">
        <v>201</v>
      </c>
      <c r="BN73" s="3" t="s">
        <v>201</v>
      </c>
      <c r="BO73" s="3" t="s">
        <v>201</v>
      </c>
      <c r="BP73" s="3" t="s">
        <v>201</v>
      </c>
      <c r="BQ73" s="3" t="s">
        <v>201</v>
      </c>
      <c r="BR73" s="3" t="s">
        <v>201</v>
      </c>
      <c r="BS73" s="3" t="s">
        <v>201</v>
      </c>
      <c r="BT73" s="3" t="s">
        <v>201</v>
      </c>
      <c r="BU73" s="3" t="s">
        <v>201</v>
      </c>
      <c r="BV73" s="3" t="s">
        <v>201</v>
      </c>
      <c r="BW73" s="3" t="s">
        <v>201</v>
      </c>
      <c r="BX73" s="3" t="s">
        <v>201</v>
      </c>
      <c r="BY73" s="3" t="s">
        <v>201</v>
      </c>
      <c r="BZ73" s="3" t="s">
        <v>201</v>
      </c>
      <c r="CA73" s="3" t="s">
        <v>201</v>
      </c>
      <c r="CB73" s="3" t="s">
        <v>201</v>
      </c>
      <c r="CC73" s="3" t="s">
        <v>201</v>
      </c>
      <c r="CD73" s="3" t="s">
        <v>201</v>
      </c>
      <c r="CE73" s="3" t="s">
        <v>201</v>
      </c>
      <c r="CF73" s="3" t="s">
        <v>201</v>
      </c>
      <c r="CG73" s="3" t="s">
        <v>201</v>
      </c>
      <c r="CH73" s="3" t="s">
        <v>201</v>
      </c>
      <c r="CI73" s="3" t="s">
        <v>201</v>
      </c>
      <c r="CJ73" s="3" t="s">
        <v>201</v>
      </c>
      <c r="CK73" s="3" t="s">
        <v>201</v>
      </c>
      <c r="CL73" s="3" t="s">
        <v>201</v>
      </c>
      <c r="CM73" s="3" t="s">
        <v>201</v>
      </c>
      <c r="CN73" s="3" t="s">
        <v>201</v>
      </c>
      <c r="CO73" s="3" t="s">
        <v>201</v>
      </c>
      <c r="CP73" s="3" t="s">
        <v>201</v>
      </c>
      <c r="CQ73" s="3" t="s">
        <v>201</v>
      </c>
      <c r="CR73" s="3" t="s">
        <v>201</v>
      </c>
      <c r="CS73" s="3" t="s">
        <v>201</v>
      </c>
      <c r="CT73" s="3" t="s">
        <v>201</v>
      </c>
      <c r="CU73" s="3" t="s">
        <v>201</v>
      </c>
      <c r="CV73" s="3" t="s">
        <v>201</v>
      </c>
      <c r="CW73" s="3" t="s">
        <v>201</v>
      </c>
      <c r="CX73" s="3" t="s">
        <v>201</v>
      </c>
      <c r="CY73" s="3" t="s">
        <v>201</v>
      </c>
      <c r="CZ73" s="3" t="s">
        <v>201</v>
      </c>
      <c r="DA73" s="3" t="s">
        <v>201</v>
      </c>
      <c r="DB73" s="3" t="s">
        <v>201</v>
      </c>
      <c r="DC73" s="3" t="s">
        <v>201</v>
      </c>
      <c r="DD73" s="3" t="s">
        <v>201</v>
      </c>
      <c r="DE73" s="3" t="s">
        <v>201</v>
      </c>
      <c r="DF73" s="3" t="s">
        <v>201</v>
      </c>
      <c r="DG73" s="3" t="s">
        <v>201</v>
      </c>
      <c r="DH73" s="3" t="s">
        <v>201</v>
      </c>
      <c r="DI73" s="3" t="s">
        <v>201</v>
      </c>
      <c r="DJ73" s="3" t="s">
        <v>201</v>
      </c>
      <c r="DK73" s="3" t="s">
        <v>201</v>
      </c>
      <c r="DL73" s="3" t="s">
        <v>201</v>
      </c>
      <c r="DM73" s="3" t="s">
        <v>201</v>
      </c>
      <c r="DN73" s="3" t="s">
        <v>201</v>
      </c>
      <c r="DO73" s="3" t="s">
        <v>201</v>
      </c>
      <c r="DP73" s="3" t="s">
        <v>201</v>
      </c>
      <c r="DQ73" s="3" t="s">
        <v>201</v>
      </c>
      <c r="DR73">
        <f t="shared" si="2"/>
        <v>2020</v>
      </c>
    </row>
    <row r="74" spans="1:122" x14ac:dyDescent="0.35">
      <c r="A74" s="4">
        <f t="shared" si="3"/>
        <v>44197</v>
      </c>
      <c r="B74" s="5">
        <v>9</v>
      </c>
      <c r="C74" s="5">
        <v>12</v>
      </c>
      <c r="D74" s="5">
        <v>12</v>
      </c>
      <c r="E74" s="5">
        <v>8</v>
      </c>
      <c r="F74" s="5">
        <v>6</v>
      </c>
      <c r="G74" s="5">
        <v>8</v>
      </c>
      <c r="H74" s="5">
        <v>8</v>
      </c>
      <c r="I74" s="5">
        <v>10</v>
      </c>
      <c r="J74" s="5">
        <v>8</v>
      </c>
      <c r="K74" s="5">
        <v>7</v>
      </c>
      <c r="L74" s="5">
        <v>4</v>
      </c>
      <c r="M74" s="5">
        <v>5</v>
      </c>
      <c r="N74" s="5">
        <v>6</v>
      </c>
      <c r="O74" s="5">
        <v>5</v>
      </c>
      <c r="P74" s="5">
        <v>1</v>
      </c>
      <c r="Q74" s="5">
        <v>5</v>
      </c>
      <c r="R74" s="5">
        <v>0</v>
      </c>
      <c r="S74" s="5">
        <v>1</v>
      </c>
      <c r="T74" s="5">
        <v>1</v>
      </c>
      <c r="U74" s="5">
        <v>1</v>
      </c>
      <c r="V74" s="5">
        <v>3</v>
      </c>
      <c r="W74" s="5">
        <v>2</v>
      </c>
      <c r="X74" s="5">
        <v>3</v>
      </c>
      <c r="Y74" s="5">
        <v>1</v>
      </c>
      <c r="Z74" s="5">
        <v>0</v>
      </c>
      <c r="AA74" s="5">
        <v>1</v>
      </c>
      <c r="AB74" s="5">
        <v>0</v>
      </c>
      <c r="AC74" s="5">
        <v>0</v>
      </c>
      <c r="AD74" s="5">
        <v>3</v>
      </c>
      <c r="AE74" s="5">
        <v>0</v>
      </c>
      <c r="AF74" s="5">
        <v>1</v>
      </c>
      <c r="AG74" s="5">
        <v>0</v>
      </c>
      <c r="AH74" s="5">
        <v>0</v>
      </c>
      <c r="AI74" s="5">
        <v>0</v>
      </c>
      <c r="AJ74" s="5">
        <v>1</v>
      </c>
      <c r="AK74" s="5">
        <v>1</v>
      </c>
      <c r="AL74" s="5">
        <v>0</v>
      </c>
      <c r="AM74" s="5">
        <v>2</v>
      </c>
      <c r="AN74" s="5">
        <v>1</v>
      </c>
      <c r="AO74" s="5">
        <v>1</v>
      </c>
      <c r="AP74" s="5">
        <v>0</v>
      </c>
      <c r="AQ74" s="5">
        <v>2</v>
      </c>
      <c r="AR74" s="5">
        <v>0</v>
      </c>
      <c r="AS74" s="5">
        <v>2</v>
      </c>
      <c r="AT74" s="5">
        <v>0</v>
      </c>
      <c r="AU74" s="5">
        <v>0</v>
      </c>
      <c r="AV74" s="5">
        <v>0</v>
      </c>
      <c r="AW74" s="5">
        <v>0</v>
      </c>
      <c r="AX74" s="5" t="s">
        <v>201</v>
      </c>
      <c r="AY74" s="5" t="s">
        <v>201</v>
      </c>
      <c r="AZ74" s="5" t="s">
        <v>201</v>
      </c>
      <c r="BA74" s="5" t="s">
        <v>201</v>
      </c>
      <c r="BB74" s="5" t="s">
        <v>201</v>
      </c>
      <c r="BC74" s="5" t="s">
        <v>201</v>
      </c>
      <c r="BD74" s="5" t="s">
        <v>201</v>
      </c>
      <c r="BE74" s="5" t="s">
        <v>201</v>
      </c>
      <c r="BF74" s="5" t="s">
        <v>201</v>
      </c>
      <c r="BG74" s="5" t="s">
        <v>201</v>
      </c>
      <c r="BH74" s="5" t="s">
        <v>201</v>
      </c>
      <c r="BI74" s="5" t="s">
        <v>201</v>
      </c>
      <c r="BJ74" s="5" t="s">
        <v>201</v>
      </c>
      <c r="BK74" s="5" t="s">
        <v>201</v>
      </c>
      <c r="BL74" s="5" t="s">
        <v>201</v>
      </c>
      <c r="BM74" s="5" t="s">
        <v>201</v>
      </c>
      <c r="BN74" s="5" t="s">
        <v>201</v>
      </c>
      <c r="BO74" s="5" t="s">
        <v>201</v>
      </c>
      <c r="BP74" s="5" t="s">
        <v>201</v>
      </c>
      <c r="BQ74" s="5" t="s">
        <v>201</v>
      </c>
      <c r="BR74" s="5" t="s">
        <v>201</v>
      </c>
      <c r="BS74" s="5" t="s">
        <v>201</v>
      </c>
      <c r="BT74" s="5" t="s">
        <v>201</v>
      </c>
      <c r="BU74" s="5" t="s">
        <v>201</v>
      </c>
      <c r="BV74" s="5" t="s">
        <v>201</v>
      </c>
      <c r="BW74" s="5" t="s">
        <v>201</v>
      </c>
      <c r="BX74" s="5" t="s">
        <v>201</v>
      </c>
      <c r="BY74" s="5" t="s">
        <v>201</v>
      </c>
      <c r="BZ74" s="5" t="s">
        <v>201</v>
      </c>
      <c r="CA74" s="5" t="s">
        <v>201</v>
      </c>
      <c r="CB74" s="5" t="s">
        <v>201</v>
      </c>
      <c r="CC74" s="5" t="s">
        <v>201</v>
      </c>
      <c r="CD74" s="5" t="s">
        <v>201</v>
      </c>
      <c r="CE74" s="5" t="s">
        <v>201</v>
      </c>
      <c r="CF74" s="5" t="s">
        <v>201</v>
      </c>
      <c r="CG74" s="5" t="s">
        <v>201</v>
      </c>
      <c r="CH74" s="5" t="s">
        <v>201</v>
      </c>
      <c r="CI74" s="5" t="s">
        <v>201</v>
      </c>
      <c r="CJ74" s="5" t="s">
        <v>201</v>
      </c>
      <c r="CK74" s="5" t="s">
        <v>201</v>
      </c>
      <c r="CL74" s="5" t="s">
        <v>201</v>
      </c>
      <c r="CM74" s="5" t="s">
        <v>201</v>
      </c>
      <c r="CN74" s="5" t="s">
        <v>201</v>
      </c>
      <c r="CO74" s="5" t="s">
        <v>201</v>
      </c>
      <c r="CP74" s="5" t="s">
        <v>201</v>
      </c>
      <c r="CQ74" s="5" t="s">
        <v>201</v>
      </c>
      <c r="CR74" s="5" t="s">
        <v>201</v>
      </c>
      <c r="CS74" s="5" t="s">
        <v>201</v>
      </c>
      <c r="CT74" s="5" t="s">
        <v>201</v>
      </c>
      <c r="CU74" s="5" t="s">
        <v>201</v>
      </c>
      <c r="CV74" s="5" t="s">
        <v>201</v>
      </c>
      <c r="CW74" s="5" t="s">
        <v>201</v>
      </c>
      <c r="CX74" s="5" t="s">
        <v>201</v>
      </c>
      <c r="CY74" s="5" t="s">
        <v>201</v>
      </c>
      <c r="CZ74" s="5" t="s">
        <v>201</v>
      </c>
      <c r="DA74" s="5" t="s">
        <v>201</v>
      </c>
      <c r="DB74" s="5" t="s">
        <v>201</v>
      </c>
      <c r="DC74" s="5" t="s">
        <v>201</v>
      </c>
      <c r="DD74" s="5" t="s">
        <v>201</v>
      </c>
      <c r="DE74" s="5" t="s">
        <v>201</v>
      </c>
      <c r="DF74" s="5" t="s">
        <v>201</v>
      </c>
      <c r="DG74" s="5" t="s">
        <v>201</v>
      </c>
      <c r="DH74" s="5" t="s">
        <v>201</v>
      </c>
      <c r="DI74" s="5" t="s">
        <v>201</v>
      </c>
      <c r="DJ74" s="5" t="s">
        <v>201</v>
      </c>
      <c r="DK74" s="5" t="s">
        <v>201</v>
      </c>
      <c r="DL74" s="5" t="s">
        <v>201</v>
      </c>
      <c r="DM74" s="5" t="s">
        <v>201</v>
      </c>
      <c r="DN74" s="5" t="s">
        <v>201</v>
      </c>
      <c r="DO74" s="5" t="s">
        <v>201</v>
      </c>
      <c r="DP74" s="5" t="s">
        <v>201</v>
      </c>
      <c r="DQ74" s="5" t="s">
        <v>201</v>
      </c>
      <c r="DR74">
        <f t="shared" si="2"/>
        <v>2021</v>
      </c>
    </row>
    <row r="75" spans="1:122" x14ac:dyDescent="0.35">
      <c r="A75" s="1">
        <f t="shared" si="3"/>
        <v>44228</v>
      </c>
      <c r="B75" s="2">
        <v>25</v>
      </c>
      <c r="C75" s="2">
        <v>22</v>
      </c>
      <c r="D75" s="2">
        <v>42</v>
      </c>
      <c r="E75" s="2">
        <v>17</v>
      </c>
      <c r="F75" s="2">
        <v>10</v>
      </c>
      <c r="G75" s="2">
        <v>11</v>
      </c>
      <c r="H75" s="2">
        <v>13</v>
      </c>
      <c r="I75" s="2">
        <v>11</v>
      </c>
      <c r="J75" s="2">
        <v>4</v>
      </c>
      <c r="K75" s="2">
        <v>4</v>
      </c>
      <c r="L75" s="2">
        <v>10</v>
      </c>
      <c r="M75" s="2">
        <v>8</v>
      </c>
      <c r="N75" s="3">
        <v>2</v>
      </c>
      <c r="O75" s="3">
        <v>2</v>
      </c>
      <c r="P75" s="3">
        <v>6</v>
      </c>
      <c r="Q75" s="3">
        <v>8</v>
      </c>
      <c r="R75" s="3">
        <v>2</v>
      </c>
      <c r="S75" s="3">
        <v>4</v>
      </c>
      <c r="T75" s="3">
        <v>4</v>
      </c>
      <c r="U75" s="3">
        <v>1</v>
      </c>
      <c r="V75" s="3">
        <v>1</v>
      </c>
      <c r="W75" s="3">
        <v>1</v>
      </c>
      <c r="X75" s="3">
        <v>3</v>
      </c>
      <c r="Y75" s="3">
        <v>1</v>
      </c>
      <c r="Z75" s="3">
        <v>2</v>
      </c>
      <c r="AA75" s="3">
        <v>0</v>
      </c>
      <c r="AB75" s="3">
        <v>1</v>
      </c>
      <c r="AC75" s="3">
        <v>3</v>
      </c>
      <c r="AD75" s="3">
        <v>0</v>
      </c>
      <c r="AE75" s="3">
        <v>0</v>
      </c>
      <c r="AF75" s="3">
        <v>1</v>
      </c>
      <c r="AG75" s="3">
        <v>0</v>
      </c>
      <c r="AH75" s="3">
        <v>0</v>
      </c>
      <c r="AI75" s="3">
        <v>0</v>
      </c>
      <c r="AJ75" s="3">
        <v>0</v>
      </c>
      <c r="AK75" s="3">
        <v>1</v>
      </c>
      <c r="AL75" s="3">
        <v>0</v>
      </c>
      <c r="AM75" s="3">
        <v>1</v>
      </c>
      <c r="AN75" s="3">
        <v>0</v>
      </c>
      <c r="AO75" s="3">
        <v>1</v>
      </c>
      <c r="AP75" s="3">
        <v>1</v>
      </c>
      <c r="AQ75" s="3">
        <v>0</v>
      </c>
      <c r="AR75" s="3">
        <v>2</v>
      </c>
      <c r="AS75" s="3">
        <v>0</v>
      </c>
      <c r="AT75" s="3">
        <v>0</v>
      </c>
      <c r="AU75" s="3">
        <v>0</v>
      </c>
      <c r="AV75" s="3">
        <v>0</v>
      </c>
      <c r="AW75" s="3" t="s">
        <v>201</v>
      </c>
      <c r="AX75" s="3" t="s">
        <v>201</v>
      </c>
      <c r="AY75" s="3" t="s">
        <v>201</v>
      </c>
      <c r="AZ75" s="3" t="s">
        <v>201</v>
      </c>
      <c r="BA75" s="3" t="s">
        <v>201</v>
      </c>
      <c r="BB75" s="3" t="s">
        <v>201</v>
      </c>
      <c r="BC75" s="3" t="s">
        <v>201</v>
      </c>
      <c r="BD75" s="3" t="s">
        <v>201</v>
      </c>
      <c r="BE75" s="3" t="s">
        <v>201</v>
      </c>
      <c r="BF75" s="3" t="s">
        <v>201</v>
      </c>
      <c r="BG75" s="3" t="s">
        <v>201</v>
      </c>
      <c r="BH75" s="3" t="s">
        <v>201</v>
      </c>
      <c r="BI75" s="3" t="s">
        <v>201</v>
      </c>
      <c r="BJ75" s="3" t="s">
        <v>201</v>
      </c>
      <c r="BK75" s="3" t="s">
        <v>201</v>
      </c>
      <c r="BL75" s="3" t="s">
        <v>201</v>
      </c>
      <c r="BM75" s="3" t="s">
        <v>201</v>
      </c>
      <c r="BN75" s="3" t="s">
        <v>201</v>
      </c>
      <c r="BO75" s="3" t="s">
        <v>201</v>
      </c>
      <c r="BP75" s="3" t="s">
        <v>201</v>
      </c>
      <c r="BQ75" s="3" t="s">
        <v>201</v>
      </c>
      <c r="BR75" s="3" t="s">
        <v>201</v>
      </c>
      <c r="BS75" s="3" t="s">
        <v>201</v>
      </c>
      <c r="BT75" s="3" t="s">
        <v>201</v>
      </c>
      <c r="BU75" s="3" t="s">
        <v>201</v>
      </c>
      <c r="BV75" s="3" t="s">
        <v>201</v>
      </c>
      <c r="BW75" s="3" t="s">
        <v>201</v>
      </c>
      <c r="BX75" s="3" t="s">
        <v>201</v>
      </c>
      <c r="BY75" s="3" t="s">
        <v>201</v>
      </c>
      <c r="BZ75" s="3" t="s">
        <v>201</v>
      </c>
      <c r="CA75" s="3" t="s">
        <v>201</v>
      </c>
      <c r="CB75" s="3" t="s">
        <v>201</v>
      </c>
      <c r="CC75" s="3" t="s">
        <v>201</v>
      </c>
      <c r="CD75" s="3" t="s">
        <v>201</v>
      </c>
      <c r="CE75" s="3" t="s">
        <v>201</v>
      </c>
      <c r="CF75" s="3" t="s">
        <v>201</v>
      </c>
      <c r="CG75" s="3" t="s">
        <v>201</v>
      </c>
      <c r="CH75" s="3" t="s">
        <v>201</v>
      </c>
      <c r="CI75" s="3" t="s">
        <v>201</v>
      </c>
      <c r="CJ75" s="3" t="s">
        <v>201</v>
      </c>
      <c r="CK75" s="3" t="s">
        <v>201</v>
      </c>
      <c r="CL75" s="3" t="s">
        <v>201</v>
      </c>
      <c r="CM75" s="3" t="s">
        <v>201</v>
      </c>
      <c r="CN75" s="3" t="s">
        <v>201</v>
      </c>
      <c r="CO75" s="3" t="s">
        <v>201</v>
      </c>
      <c r="CP75" s="3" t="s">
        <v>201</v>
      </c>
      <c r="CQ75" s="3" t="s">
        <v>201</v>
      </c>
      <c r="CR75" s="3" t="s">
        <v>201</v>
      </c>
      <c r="CS75" s="3" t="s">
        <v>201</v>
      </c>
      <c r="CT75" s="3" t="s">
        <v>201</v>
      </c>
      <c r="CU75" s="3" t="s">
        <v>201</v>
      </c>
      <c r="CV75" s="3" t="s">
        <v>201</v>
      </c>
      <c r="CW75" s="3" t="s">
        <v>201</v>
      </c>
      <c r="CX75" s="3" t="s">
        <v>201</v>
      </c>
      <c r="CY75" s="3" t="s">
        <v>201</v>
      </c>
      <c r="CZ75" s="3" t="s">
        <v>201</v>
      </c>
      <c r="DA75" s="3" t="s">
        <v>201</v>
      </c>
      <c r="DB75" s="3" t="s">
        <v>201</v>
      </c>
      <c r="DC75" s="3" t="s">
        <v>201</v>
      </c>
      <c r="DD75" s="3" t="s">
        <v>201</v>
      </c>
      <c r="DE75" s="3" t="s">
        <v>201</v>
      </c>
      <c r="DF75" s="3" t="s">
        <v>201</v>
      </c>
      <c r="DG75" s="3" t="s">
        <v>201</v>
      </c>
      <c r="DH75" s="3" t="s">
        <v>201</v>
      </c>
      <c r="DI75" s="3" t="s">
        <v>201</v>
      </c>
      <c r="DJ75" s="3" t="s">
        <v>201</v>
      </c>
      <c r="DK75" s="3" t="s">
        <v>201</v>
      </c>
      <c r="DL75" s="3" t="s">
        <v>201</v>
      </c>
      <c r="DM75" s="3" t="s">
        <v>201</v>
      </c>
      <c r="DN75" s="3" t="s">
        <v>201</v>
      </c>
      <c r="DO75" s="3" t="s">
        <v>201</v>
      </c>
      <c r="DP75" s="3" t="s">
        <v>201</v>
      </c>
      <c r="DQ75" s="3" t="s">
        <v>201</v>
      </c>
      <c r="DR75">
        <f t="shared" si="2"/>
        <v>2021</v>
      </c>
    </row>
    <row r="76" spans="1:122" x14ac:dyDescent="0.35">
      <c r="A76" s="1">
        <f t="shared" si="3"/>
        <v>44256</v>
      </c>
      <c r="B76" s="2">
        <v>19</v>
      </c>
      <c r="C76" s="2">
        <v>17</v>
      </c>
      <c r="D76" s="2">
        <v>38</v>
      </c>
      <c r="E76" s="2">
        <v>8</v>
      </c>
      <c r="F76" s="2">
        <v>14</v>
      </c>
      <c r="G76" s="2">
        <v>19</v>
      </c>
      <c r="H76" s="2">
        <v>10</v>
      </c>
      <c r="I76" s="2">
        <v>7</v>
      </c>
      <c r="J76" s="2">
        <v>16</v>
      </c>
      <c r="K76" s="2">
        <v>10</v>
      </c>
      <c r="L76" s="2">
        <v>4</v>
      </c>
      <c r="M76" s="2">
        <v>6</v>
      </c>
      <c r="N76" s="3">
        <v>6</v>
      </c>
      <c r="O76" s="3">
        <v>5</v>
      </c>
      <c r="P76" s="3">
        <v>6</v>
      </c>
      <c r="Q76" s="3">
        <v>3</v>
      </c>
      <c r="R76" s="3">
        <v>2</v>
      </c>
      <c r="S76" s="3">
        <v>3</v>
      </c>
      <c r="T76" s="3">
        <v>0</v>
      </c>
      <c r="U76" s="3">
        <v>4</v>
      </c>
      <c r="V76" s="3">
        <v>2</v>
      </c>
      <c r="W76" s="3">
        <v>0</v>
      </c>
      <c r="X76" s="3">
        <v>0</v>
      </c>
      <c r="Y76" s="3">
        <v>3</v>
      </c>
      <c r="Z76" s="3">
        <v>3</v>
      </c>
      <c r="AA76" s="3">
        <v>2</v>
      </c>
      <c r="AB76" s="3">
        <v>3</v>
      </c>
      <c r="AC76" s="3">
        <v>1</v>
      </c>
      <c r="AD76" s="3">
        <v>2</v>
      </c>
      <c r="AE76" s="3">
        <v>1</v>
      </c>
      <c r="AF76" s="3">
        <v>0</v>
      </c>
      <c r="AG76" s="3">
        <v>0</v>
      </c>
      <c r="AH76" s="3">
        <v>1</v>
      </c>
      <c r="AI76" s="3">
        <v>2</v>
      </c>
      <c r="AJ76" s="3">
        <v>2</v>
      </c>
      <c r="AK76" s="3">
        <v>0</v>
      </c>
      <c r="AL76" s="3">
        <v>1</v>
      </c>
      <c r="AM76" s="3">
        <v>1</v>
      </c>
      <c r="AN76" s="3">
        <v>0</v>
      </c>
      <c r="AO76" s="3">
        <v>1</v>
      </c>
      <c r="AP76" s="3">
        <v>0</v>
      </c>
      <c r="AQ76" s="3">
        <v>1</v>
      </c>
      <c r="AR76" s="3">
        <v>0</v>
      </c>
      <c r="AS76" s="3">
        <v>0</v>
      </c>
      <c r="AT76" s="3">
        <v>1</v>
      </c>
      <c r="AU76" s="3">
        <v>0</v>
      </c>
      <c r="AV76" s="3" t="s">
        <v>201</v>
      </c>
      <c r="AW76" s="3" t="s">
        <v>201</v>
      </c>
      <c r="AX76" s="3" t="s">
        <v>201</v>
      </c>
      <c r="AY76" s="3" t="s">
        <v>201</v>
      </c>
      <c r="AZ76" s="3" t="s">
        <v>201</v>
      </c>
      <c r="BA76" s="3" t="s">
        <v>201</v>
      </c>
      <c r="BB76" s="3" t="s">
        <v>201</v>
      </c>
      <c r="BC76" s="3" t="s">
        <v>201</v>
      </c>
      <c r="BD76" s="3" t="s">
        <v>201</v>
      </c>
      <c r="BE76" s="3" t="s">
        <v>201</v>
      </c>
      <c r="BF76" s="3" t="s">
        <v>201</v>
      </c>
      <c r="BG76" s="3" t="s">
        <v>201</v>
      </c>
      <c r="BH76" s="3" t="s">
        <v>201</v>
      </c>
      <c r="BI76" s="3" t="s">
        <v>201</v>
      </c>
      <c r="BJ76" s="3" t="s">
        <v>201</v>
      </c>
      <c r="BK76" s="3" t="s">
        <v>201</v>
      </c>
      <c r="BL76" s="3" t="s">
        <v>201</v>
      </c>
      <c r="BM76" s="3" t="s">
        <v>201</v>
      </c>
      <c r="BN76" s="3" t="s">
        <v>201</v>
      </c>
      <c r="BO76" s="3" t="s">
        <v>201</v>
      </c>
      <c r="BP76" s="3" t="s">
        <v>201</v>
      </c>
      <c r="BQ76" s="3" t="s">
        <v>201</v>
      </c>
      <c r="BR76" s="3" t="s">
        <v>201</v>
      </c>
      <c r="BS76" s="3" t="s">
        <v>201</v>
      </c>
      <c r="BT76" s="3" t="s">
        <v>201</v>
      </c>
      <c r="BU76" s="3" t="s">
        <v>201</v>
      </c>
      <c r="BV76" s="3" t="s">
        <v>201</v>
      </c>
      <c r="BW76" s="3" t="s">
        <v>201</v>
      </c>
      <c r="BX76" s="3" t="s">
        <v>201</v>
      </c>
      <c r="BY76" s="3" t="s">
        <v>201</v>
      </c>
      <c r="BZ76" s="3" t="s">
        <v>201</v>
      </c>
      <c r="CA76" s="3" t="s">
        <v>201</v>
      </c>
      <c r="CB76" s="3" t="s">
        <v>201</v>
      </c>
      <c r="CC76" s="3" t="s">
        <v>201</v>
      </c>
      <c r="CD76" s="3" t="s">
        <v>201</v>
      </c>
      <c r="CE76" s="3" t="s">
        <v>201</v>
      </c>
      <c r="CF76" s="3" t="s">
        <v>201</v>
      </c>
      <c r="CG76" s="3" t="s">
        <v>201</v>
      </c>
      <c r="CH76" s="3" t="s">
        <v>201</v>
      </c>
      <c r="CI76" s="3" t="s">
        <v>201</v>
      </c>
      <c r="CJ76" s="3" t="s">
        <v>201</v>
      </c>
      <c r="CK76" s="3" t="s">
        <v>201</v>
      </c>
      <c r="CL76" s="3" t="s">
        <v>201</v>
      </c>
      <c r="CM76" s="3" t="s">
        <v>201</v>
      </c>
      <c r="CN76" s="3" t="s">
        <v>201</v>
      </c>
      <c r="CO76" s="3" t="s">
        <v>201</v>
      </c>
      <c r="CP76" s="3" t="s">
        <v>201</v>
      </c>
      <c r="CQ76" s="3" t="s">
        <v>201</v>
      </c>
      <c r="CR76" s="3" t="s">
        <v>201</v>
      </c>
      <c r="CS76" s="3" t="s">
        <v>201</v>
      </c>
      <c r="CT76" s="3" t="s">
        <v>201</v>
      </c>
      <c r="CU76" s="3" t="s">
        <v>201</v>
      </c>
      <c r="CV76" s="3" t="s">
        <v>201</v>
      </c>
      <c r="CW76" s="3" t="s">
        <v>201</v>
      </c>
      <c r="CX76" s="3" t="s">
        <v>201</v>
      </c>
      <c r="CY76" s="3" t="s">
        <v>201</v>
      </c>
      <c r="CZ76" s="3" t="s">
        <v>201</v>
      </c>
      <c r="DA76" s="3" t="s">
        <v>201</v>
      </c>
      <c r="DB76" s="3" t="s">
        <v>201</v>
      </c>
      <c r="DC76" s="3" t="s">
        <v>201</v>
      </c>
      <c r="DD76" s="3" t="s">
        <v>201</v>
      </c>
      <c r="DE76" s="3" t="s">
        <v>201</v>
      </c>
      <c r="DF76" s="3" t="s">
        <v>201</v>
      </c>
      <c r="DG76" s="3" t="s">
        <v>201</v>
      </c>
      <c r="DH76" s="3" t="s">
        <v>201</v>
      </c>
      <c r="DI76" s="3" t="s">
        <v>201</v>
      </c>
      <c r="DJ76" s="3" t="s">
        <v>201</v>
      </c>
      <c r="DK76" s="3" t="s">
        <v>201</v>
      </c>
      <c r="DL76" s="3" t="s">
        <v>201</v>
      </c>
      <c r="DM76" s="3" t="s">
        <v>201</v>
      </c>
      <c r="DN76" s="3" t="s">
        <v>201</v>
      </c>
      <c r="DO76" s="3" t="s">
        <v>201</v>
      </c>
      <c r="DP76" s="3" t="s">
        <v>201</v>
      </c>
      <c r="DQ76" s="3" t="s">
        <v>201</v>
      </c>
      <c r="DR76">
        <f t="shared" si="2"/>
        <v>2021</v>
      </c>
    </row>
    <row r="77" spans="1:122" x14ac:dyDescent="0.35">
      <c r="A77" s="1">
        <f t="shared" si="3"/>
        <v>44287</v>
      </c>
      <c r="B77" s="2">
        <v>19</v>
      </c>
      <c r="C77" s="2">
        <v>18</v>
      </c>
      <c r="D77" s="2">
        <v>27</v>
      </c>
      <c r="E77" s="2">
        <v>11</v>
      </c>
      <c r="F77" s="2">
        <v>9</v>
      </c>
      <c r="G77" s="2">
        <v>7</v>
      </c>
      <c r="H77" s="2">
        <v>10</v>
      </c>
      <c r="I77" s="2">
        <v>3</v>
      </c>
      <c r="J77" s="2">
        <v>9</v>
      </c>
      <c r="K77" s="2">
        <v>2</v>
      </c>
      <c r="L77" s="2">
        <v>9</v>
      </c>
      <c r="M77" s="2">
        <v>6</v>
      </c>
      <c r="N77" s="3">
        <v>2</v>
      </c>
      <c r="O77" s="3">
        <v>5</v>
      </c>
      <c r="P77" s="3">
        <v>4</v>
      </c>
      <c r="Q77" s="3">
        <v>2</v>
      </c>
      <c r="R77" s="3">
        <v>3</v>
      </c>
      <c r="S77" s="3">
        <v>3</v>
      </c>
      <c r="T77" s="3">
        <v>1</v>
      </c>
      <c r="U77" s="3">
        <v>0</v>
      </c>
      <c r="V77" s="3">
        <v>1</v>
      </c>
      <c r="W77" s="3">
        <v>0</v>
      </c>
      <c r="X77" s="3">
        <v>2</v>
      </c>
      <c r="Y77" s="3">
        <v>3</v>
      </c>
      <c r="Z77" s="3">
        <v>0</v>
      </c>
      <c r="AA77" s="3">
        <v>0</v>
      </c>
      <c r="AB77" s="3">
        <v>3</v>
      </c>
      <c r="AC77" s="3">
        <v>0</v>
      </c>
      <c r="AD77" s="3">
        <v>1</v>
      </c>
      <c r="AE77" s="3">
        <v>0</v>
      </c>
      <c r="AF77" s="3">
        <v>0</v>
      </c>
      <c r="AG77" s="3">
        <v>1</v>
      </c>
      <c r="AH77" s="3">
        <v>0</v>
      </c>
      <c r="AI77" s="3">
        <v>0</v>
      </c>
      <c r="AJ77" s="3">
        <v>0</v>
      </c>
      <c r="AK77" s="3">
        <v>0</v>
      </c>
      <c r="AL77" s="3">
        <v>0</v>
      </c>
      <c r="AM77" s="3">
        <v>2</v>
      </c>
      <c r="AN77" s="3">
        <v>0</v>
      </c>
      <c r="AO77" s="3">
        <v>0</v>
      </c>
      <c r="AP77" s="3">
        <v>1</v>
      </c>
      <c r="AQ77" s="3">
        <v>0</v>
      </c>
      <c r="AR77" s="3">
        <v>0</v>
      </c>
      <c r="AS77" s="3">
        <v>0</v>
      </c>
      <c r="AT77" s="3">
        <v>0</v>
      </c>
      <c r="AU77" s="3" t="s">
        <v>201</v>
      </c>
      <c r="AV77" s="3" t="s">
        <v>201</v>
      </c>
      <c r="AW77" s="3" t="s">
        <v>201</v>
      </c>
      <c r="AX77" s="3" t="s">
        <v>201</v>
      </c>
      <c r="AY77" s="3" t="s">
        <v>201</v>
      </c>
      <c r="AZ77" s="3" t="s">
        <v>201</v>
      </c>
      <c r="BA77" s="3" t="s">
        <v>201</v>
      </c>
      <c r="BB77" s="3" t="s">
        <v>201</v>
      </c>
      <c r="BC77" s="3" t="s">
        <v>201</v>
      </c>
      <c r="BD77" s="3" t="s">
        <v>201</v>
      </c>
      <c r="BE77" s="3" t="s">
        <v>201</v>
      </c>
      <c r="BF77" s="3" t="s">
        <v>201</v>
      </c>
      <c r="BG77" s="3" t="s">
        <v>201</v>
      </c>
      <c r="BH77" s="3" t="s">
        <v>201</v>
      </c>
      <c r="BI77" s="3" t="s">
        <v>201</v>
      </c>
      <c r="BJ77" s="3" t="s">
        <v>201</v>
      </c>
      <c r="BK77" s="3" t="s">
        <v>201</v>
      </c>
      <c r="BL77" s="3" t="s">
        <v>201</v>
      </c>
      <c r="BM77" s="3" t="s">
        <v>201</v>
      </c>
      <c r="BN77" s="3" t="s">
        <v>201</v>
      </c>
      <c r="BO77" s="3" t="s">
        <v>201</v>
      </c>
      <c r="BP77" s="3" t="s">
        <v>201</v>
      </c>
      <c r="BQ77" s="3" t="s">
        <v>201</v>
      </c>
      <c r="BR77" s="3" t="s">
        <v>201</v>
      </c>
      <c r="BS77" s="3" t="s">
        <v>201</v>
      </c>
      <c r="BT77" s="3" t="s">
        <v>201</v>
      </c>
      <c r="BU77" s="3" t="s">
        <v>201</v>
      </c>
      <c r="BV77" s="3" t="s">
        <v>201</v>
      </c>
      <c r="BW77" s="3" t="s">
        <v>201</v>
      </c>
      <c r="BX77" s="3" t="s">
        <v>201</v>
      </c>
      <c r="BY77" s="3" t="s">
        <v>201</v>
      </c>
      <c r="BZ77" s="3" t="s">
        <v>201</v>
      </c>
      <c r="CA77" s="3" t="s">
        <v>201</v>
      </c>
      <c r="CB77" s="3" t="s">
        <v>201</v>
      </c>
      <c r="CC77" s="3" t="s">
        <v>201</v>
      </c>
      <c r="CD77" s="3" t="s">
        <v>201</v>
      </c>
      <c r="CE77" s="3" t="s">
        <v>201</v>
      </c>
      <c r="CF77" s="3" t="s">
        <v>201</v>
      </c>
      <c r="CG77" s="3" t="s">
        <v>201</v>
      </c>
      <c r="CH77" s="3" t="s">
        <v>201</v>
      </c>
      <c r="CI77" s="3" t="s">
        <v>201</v>
      </c>
      <c r="CJ77" s="3" t="s">
        <v>201</v>
      </c>
      <c r="CK77" s="3" t="s">
        <v>201</v>
      </c>
      <c r="CL77" s="3" t="s">
        <v>201</v>
      </c>
      <c r="CM77" s="3" t="s">
        <v>201</v>
      </c>
      <c r="CN77" s="3" t="s">
        <v>201</v>
      </c>
      <c r="CO77" s="3" t="s">
        <v>201</v>
      </c>
      <c r="CP77" s="3" t="s">
        <v>201</v>
      </c>
      <c r="CQ77" s="3" t="s">
        <v>201</v>
      </c>
      <c r="CR77" s="3" t="s">
        <v>201</v>
      </c>
      <c r="CS77" s="3" t="s">
        <v>201</v>
      </c>
      <c r="CT77" s="3" t="s">
        <v>201</v>
      </c>
      <c r="CU77" s="3" t="s">
        <v>201</v>
      </c>
      <c r="CV77" s="3" t="s">
        <v>201</v>
      </c>
      <c r="CW77" s="3" t="s">
        <v>201</v>
      </c>
      <c r="CX77" s="3" t="s">
        <v>201</v>
      </c>
      <c r="CY77" s="3" t="s">
        <v>201</v>
      </c>
      <c r="CZ77" s="3" t="s">
        <v>201</v>
      </c>
      <c r="DA77" s="3" t="s">
        <v>201</v>
      </c>
      <c r="DB77" s="3" t="s">
        <v>201</v>
      </c>
      <c r="DC77" s="3" t="s">
        <v>201</v>
      </c>
      <c r="DD77" s="3" t="s">
        <v>201</v>
      </c>
      <c r="DE77" s="3" t="s">
        <v>201</v>
      </c>
      <c r="DF77" s="3" t="s">
        <v>201</v>
      </c>
      <c r="DG77" s="3" t="s">
        <v>201</v>
      </c>
      <c r="DH77" s="3" t="s">
        <v>201</v>
      </c>
      <c r="DI77" s="3" t="s">
        <v>201</v>
      </c>
      <c r="DJ77" s="3" t="s">
        <v>201</v>
      </c>
      <c r="DK77" s="3" t="s">
        <v>201</v>
      </c>
      <c r="DL77" s="3" t="s">
        <v>201</v>
      </c>
      <c r="DM77" s="3" t="s">
        <v>201</v>
      </c>
      <c r="DN77" s="3" t="s">
        <v>201</v>
      </c>
      <c r="DO77" s="3" t="s">
        <v>201</v>
      </c>
      <c r="DP77" s="3" t="s">
        <v>201</v>
      </c>
      <c r="DQ77" s="3" t="s">
        <v>201</v>
      </c>
      <c r="DR77">
        <f t="shared" si="2"/>
        <v>2021</v>
      </c>
    </row>
    <row r="78" spans="1:122" x14ac:dyDescent="0.35">
      <c r="A78" s="1">
        <f t="shared" si="3"/>
        <v>44317</v>
      </c>
      <c r="B78" s="2">
        <v>34</v>
      </c>
      <c r="C78" s="2">
        <v>15</v>
      </c>
      <c r="D78" s="2">
        <v>53</v>
      </c>
      <c r="E78" s="2">
        <v>13</v>
      </c>
      <c r="F78" s="2">
        <v>22</v>
      </c>
      <c r="G78" s="2">
        <v>15</v>
      </c>
      <c r="H78" s="2">
        <v>9</v>
      </c>
      <c r="I78" s="2">
        <v>14</v>
      </c>
      <c r="J78" s="2">
        <v>5</v>
      </c>
      <c r="K78" s="2">
        <v>6</v>
      </c>
      <c r="L78" s="2">
        <v>6</v>
      </c>
      <c r="M78" s="2">
        <v>3</v>
      </c>
      <c r="N78" s="3">
        <v>8</v>
      </c>
      <c r="O78" s="3">
        <v>1</v>
      </c>
      <c r="P78" s="3">
        <v>4</v>
      </c>
      <c r="Q78" s="3">
        <v>2</v>
      </c>
      <c r="R78" s="3">
        <v>5</v>
      </c>
      <c r="S78" s="3">
        <v>3</v>
      </c>
      <c r="T78" s="3">
        <v>3</v>
      </c>
      <c r="U78" s="3">
        <v>0</v>
      </c>
      <c r="V78" s="3">
        <v>3</v>
      </c>
      <c r="W78" s="3">
        <v>0</v>
      </c>
      <c r="X78" s="3">
        <v>1</v>
      </c>
      <c r="Y78" s="3">
        <v>1</v>
      </c>
      <c r="Z78" s="3">
        <v>1</v>
      </c>
      <c r="AA78" s="3">
        <v>1</v>
      </c>
      <c r="AB78" s="3">
        <v>1</v>
      </c>
      <c r="AC78" s="3">
        <v>2</v>
      </c>
      <c r="AD78" s="3">
        <v>1</v>
      </c>
      <c r="AE78" s="3">
        <v>0</v>
      </c>
      <c r="AF78" s="3">
        <v>1</v>
      </c>
      <c r="AG78" s="3">
        <v>1</v>
      </c>
      <c r="AH78" s="3">
        <v>2</v>
      </c>
      <c r="AI78" s="3">
        <v>0</v>
      </c>
      <c r="AJ78" s="3">
        <v>0</v>
      </c>
      <c r="AK78" s="3">
        <v>1</v>
      </c>
      <c r="AL78" s="3">
        <v>0</v>
      </c>
      <c r="AM78" s="3">
        <v>1</v>
      </c>
      <c r="AN78" s="3">
        <v>1</v>
      </c>
      <c r="AO78" s="3">
        <v>1</v>
      </c>
      <c r="AP78" s="3">
        <v>1</v>
      </c>
      <c r="AQ78" s="3">
        <v>0</v>
      </c>
      <c r="AR78" s="3">
        <v>0</v>
      </c>
      <c r="AS78" s="3">
        <v>0</v>
      </c>
      <c r="AT78" s="3" t="s">
        <v>201</v>
      </c>
      <c r="AU78" s="3" t="s">
        <v>201</v>
      </c>
      <c r="AV78" s="3" t="s">
        <v>201</v>
      </c>
      <c r="AW78" s="3" t="s">
        <v>201</v>
      </c>
      <c r="AX78" s="3" t="s">
        <v>201</v>
      </c>
      <c r="AY78" s="3" t="s">
        <v>201</v>
      </c>
      <c r="AZ78" s="3" t="s">
        <v>201</v>
      </c>
      <c r="BA78" s="3" t="s">
        <v>201</v>
      </c>
      <c r="BB78" s="3" t="s">
        <v>201</v>
      </c>
      <c r="BC78" s="3" t="s">
        <v>201</v>
      </c>
      <c r="BD78" s="3" t="s">
        <v>201</v>
      </c>
      <c r="BE78" s="3" t="s">
        <v>201</v>
      </c>
      <c r="BF78" s="3" t="s">
        <v>201</v>
      </c>
      <c r="BG78" s="3" t="s">
        <v>201</v>
      </c>
      <c r="BH78" s="3" t="s">
        <v>201</v>
      </c>
      <c r="BI78" s="3" t="s">
        <v>201</v>
      </c>
      <c r="BJ78" s="3" t="s">
        <v>201</v>
      </c>
      <c r="BK78" s="3" t="s">
        <v>201</v>
      </c>
      <c r="BL78" s="3" t="s">
        <v>201</v>
      </c>
      <c r="BM78" s="3" t="s">
        <v>201</v>
      </c>
      <c r="BN78" s="3" t="s">
        <v>201</v>
      </c>
      <c r="BO78" s="3" t="s">
        <v>201</v>
      </c>
      <c r="BP78" s="3" t="s">
        <v>201</v>
      </c>
      <c r="BQ78" s="3" t="s">
        <v>201</v>
      </c>
      <c r="BR78" s="3" t="s">
        <v>201</v>
      </c>
      <c r="BS78" s="3" t="s">
        <v>201</v>
      </c>
      <c r="BT78" s="3" t="s">
        <v>201</v>
      </c>
      <c r="BU78" s="3" t="s">
        <v>201</v>
      </c>
      <c r="BV78" s="3" t="s">
        <v>201</v>
      </c>
      <c r="BW78" s="3" t="s">
        <v>201</v>
      </c>
      <c r="BX78" s="3" t="s">
        <v>201</v>
      </c>
      <c r="BY78" s="3" t="s">
        <v>201</v>
      </c>
      <c r="BZ78" s="3" t="s">
        <v>201</v>
      </c>
      <c r="CA78" s="3" t="s">
        <v>201</v>
      </c>
      <c r="CB78" s="3" t="s">
        <v>201</v>
      </c>
      <c r="CC78" s="3" t="s">
        <v>201</v>
      </c>
      <c r="CD78" s="3" t="s">
        <v>201</v>
      </c>
      <c r="CE78" s="3" t="s">
        <v>201</v>
      </c>
      <c r="CF78" s="3" t="s">
        <v>201</v>
      </c>
      <c r="CG78" s="3" t="s">
        <v>201</v>
      </c>
      <c r="CH78" s="3" t="s">
        <v>201</v>
      </c>
      <c r="CI78" s="3" t="s">
        <v>201</v>
      </c>
      <c r="CJ78" s="3" t="s">
        <v>201</v>
      </c>
      <c r="CK78" s="3" t="s">
        <v>201</v>
      </c>
      <c r="CL78" s="3" t="s">
        <v>201</v>
      </c>
      <c r="CM78" s="3" t="s">
        <v>201</v>
      </c>
      <c r="CN78" s="3" t="s">
        <v>201</v>
      </c>
      <c r="CO78" s="3" t="s">
        <v>201</v>
      </c>
      <c r="CP78" s="3" t="s">
        <v>201</v>
      </c>
      <c r="CQ78" s="3" t="s">
        <v>201</v>
      </c>
      <c r="CR78" s="3" t="s">
        <v>201</v>
      </c>
      <c r="CS78" s="3" t="s">
        <v>201</v>
      </c>
      <c r="CT78" s="3" t="s">
        <v>201</v>
      </c>
      <c r="CU78" s="3" t="s">
        <v>201</v>
      </c>
      <c r="CV78" s="3" t="s">
        <v>201</v>
      </c>
      <c r="CW78" s="3" t="s">
        <v>201</v>
      </c>
      <c r="CX78" s="3" t="s">
        <v>201</v>
      </c>
      <c r="CY78" s="3" t="s">
        <v>201</v>
      </c>
      <c r="CZ78" s="3" t="s">
        <v>201</v>
      </c>
      <c r="DA78" s="3" t="s">
        <v>201</v>
      </c>
      <c r="DB78" s="3" t="s">
        <v>201</v>
      </c>
      <c r="DC78" s="3" t="s">
        <v>201</v>
      </c>
      <c r="DD78" s="3" t="s">
        <v>201</v>
      </c>
      <c r="DE78" s="3" t="s">
        <v>201</v>
      </c>
      <c r="DF78" s="3" t="s">
        <v>201</v>
      </c>
      <c r="DG78" s="3" t="s">
        <v>201</v>
      </c>
      <c r="DH78" s="3" t="s">
        <v>201</v>
      </c>
      <c r="DI78" s="3" t="s">
        <v>201</v>
      </c>
      <c r="DJ78" s="3" t="s">
        <v>201</v>
      </c>
      <c r="DK78" s="3" t="s">
        <v>201</v>
      </c>
      <c r="DL78" s="3" t="s">
        <v>201</v>
      </c>
      <c r="DM78" s="3" t="s">
        <v>201</v>
      </c>
      <c r="DN78" s="3" t="s">
        <v>201</v>
      </c>
      <c r="DO78" s="3" t="s">
        <v>201</v>
      </c>
      <c r="DP78" s="3" t="s">
        <v>201</v>
      </c>
      <c r="DQ78" s="3" t="s">
        <v>201</v>
      </c>
      <c r="DR78">
        <f t="shared" si="2"/>
        <v>2021</v>
      </c>
    </row>
    <row r="79" spans="1:122" x14ac:dyDescent="0.35">
      <c r="A79" s="1">
        <f t="shared" si="3"/>
        <v>44348</v>
      </c>
      <c r="B79" s="2">
        <v>22</v>
      </c>
      <c r="C79" s="2">
        <v>17</v>
      </c>
      <c r="D79" s="2">
        <v>38</v>
      </c>
      <c r="E79" s="2">
        <v>19</v>
      </c>
      <c r="F79" s="2">
        <v>18</v>
      </c>
      <c r="G79" s="2">
        <v>12</v>
      </c>
      <c r="H79" s="2">
        <v>10</v>
      </c>
      <c r="I79" s="2">
        <v>13</v>
      </c>
      <c r="J79" s="2">
        <v>12</v>
      </c>
      <c r="K79" s="2">
        <v>7</v>
      </c>
      <c r="L79" s="2">
        <v>11</v>
      </c>
      <c r="M79" s="2">
        <v>3</v>
      </c>
      <c r="N79" s="3">
        <v>10</v>
      </c>
      <c r="O79" s="3">
        <v>5</v>
      </c>
      <c r="P79" s="3">
        <v>3</v>
      </c>
      <c r="Q79" s="3">
        <v>3</v>
      </c>
      <c r="R79" s="3">
        <v>2</v>
      </c>
      <c r="S79" s="3">
        <v>6</v>
      </c>
      <c r="T79" s="3">
        <v>2</v>
      </c>
      <c r="U79" s="3">
        <v>3</v>
      </c>
      <c r="V79" s="3">
        <v>2</v>
      </c>
      <c r="W79" s="3">
        <v>6</v>
      </c>
      <c r="X79" s="3">
        <v>3</v>
      </c>
      <c r="Y79" s="3">
        <v>3</v>
      </c>
      <c r="Z79" s="3">
        <v>0</v>
      </c>
      <c r="AA79" s="3">
        <v>2</v>
      </c>
      <c r="AB79" s="3">
        <v>2</v>
      </c>
      <c r="AC79" s="3">
        <v>0</v>
      </c>
      <c r="AD79" s="3">
        <v>0</v>
      </c>
      <c r="AE79" s="3">
        <v>1</v>
      </c>
      <c r="AF79" s="3">
        <v>1</v>
      </c>
      <c r="AG79" s="3">
        <v>2</v>
      </c>
      <c r="AH79" s="3">
        <v>1</v>
      </c>
      <c r="AI79" s="3">
        <v>1</v>
      </c>
      <c r="AJ79" s="3">
        <v>0</v>
      </c>
      <c r="AK79" s="3">
        <v>3</v>
      </c>
      <c r="AL79" s="3">
        <v>0</v>
      </c>
      <c r="AM79" s="3">
        <v>1</v>
      </c>
      <c r="AN79" s="3">
        <v>0</v>
      </c>
      <c r="AO79" s="3">
        <v>0</v>
      </c>
      <c r="AP79" s="3">
        <v>0</v>
      </c>
      <c r="AQ79" s="3">
        <v>0</v>
      </c>
      <c r="AR79" s="3">
        <v>0</v>
      </c>
      <c r="AS79" s="3" t="s">
        <v>201</v>
      </c>
      <c r="AT79" s="3" t="s">
        <v>201</v>
      </c>
      <c r="AU79" s="3" t="s">
        <v>201</v>
      </c>
      <c r="AV79" s="3" t="s">
        <v>201</v>
      </c>
      <c r="AW79" s="3" t="s">
        <v>201</v>
      </c>
      <c r="AX79" s="3" t="s">
        <v>201</v>
      </c>
      <c r="AY79" s="3" t="s">
        <v>201</v>
      </c>
      <c r="AZ79" s="3" t="s">
        <v>201</v>
      </c>
      <c r="BA79" s="3" t="s">
        <v>201</v>
      </c>
      <c r="BB79" s="3" t="s">
        <v>201</v>
      </c>
      <c r="BC79" s="3" t="s">
        <v>201</v>
      </c>
      <c r="BD79" s="3" t="s">
        <v>201</v>
      </c>
      <c r="BE79" s="3" t="s">
        <v>201</v>
      </c>
      <c r="BF79" s="3" t="s">
        <v>201</v>
      </c>
      <c r="BG79" s="3" t="s">
        <v>201</v>
      </c>
      <c r="BH79" s="3" t="s">
        <v>201</v>
      </c>
      <c r="BI79" s="3" t="s">
        <v>201</v>
      </c>
      <c r="BJ79" s="3" t="s">
        <v>201</v>
      </c>
      <c r="BK79" s="3" t="s">
        <v>201</v>
      </c>
      <c r="BL79" s="3" t="s">
        <v>201</v>
      </c>
      <c r="BM79" s="3" t="s">
        <v>201</v>
      </c>
      <c r="BN79" s="3" t="s">
        <v>201</v>
      </c>
      <c r="BO79" s="3" t="s">
        <v>201</v>
      </c>
      <c r="BP79" s="3" t="s">
        <v>201</v>
      </c>
      <c r="BQ79" s="3" t="s">
        <v>201</v>
      </c>
      <c r="BR79" s="3" t="s">
        <v>201</v>
      </c>
      <c r="BS79" s="3" t="s">
        <v>201</v>
      </c>
      <c r="BT79" s="3" t="s">
        <v>201</v>
      </c>
      <c r="BU79" s="3" t="s">
        <v>201</v>
      </c>
      <c r="BV79" s="3" t="s">
        <v>201</v>
      </c>
      <c r="BW79" s="3" t="s">
        <v>201</v>
      </c>
      <c r="BX79" s="3" t="s">
        <v>201</v>
      </c>
      <c r="BY79" s="3" t="s">
        <v>201</v>
      </c>
      <c r="BZ79" s="3" t="s">
        <v>201</v>
      </c>
      <c r="CA79" s="3" t="s">
        <v>201</v>
      </c>
      <c r="CB79" s="3" t="s">
        <v>201</v>
      </c>
      <c r="CC79" s="3" t="s">
        <v>201</v>
      </c>
      <c r="CD79" s="3" t="s">
        <v>201</v>
      </c>
      <c r="CE79" s="3" t="s">
        <v>201</v>
      </c>
      <c r="CF79" s="3" t="s">
        <v>201</v>
      </c>
      <c r="CG79" s="3" t="s">
        <v>201</v>
      </c>
      <c r="CH79" s="3" t="s">
        <v>201</v>
      </c>
      <c r="CI79" s="3" t="s">
        <v>201</v>
      </c>
      <c r="CJ79" s="3" t="s">
        <v>201</v>
      </c>
      <c r="CK79" s="3" t="s">
        <v>201</v>
      </c>
      <c r="CL79" s="3" t="s">
        <v>201</v>
      </c>
      <c r="CM79" s="3" t="s">
        <v>201</v>
      </c>
      <c r="CN79" s="3" t="s">
        <v>201</v>
      </c>
      <c r="CO79" s="3" t="s">
        <v>201</v>
      </c>
      <c r="CP79" s="3" t="s">
        <v>201</v>
      </c>
      <c r="CQ79" s="3" t="s">
        <v>201</v>
      </c>
      <c r="CR79" s="3" t="s">
        <v>201</v>
      </c>
      <c r="CS79" s="3" t="s">
        <v>201</v>
      </c>
      <c r="CT79" s="3" t="s">
        <v>201</v>
      </c>
      <c r="CU79" s="3" t="s">
        <v>201</v>
      </c>
      <c r="CV79" s="3" t="s">
        <v>201</v>
      </c>
      <c r="CW79" s="3" t="s">
        <v>201</v>
      </c>
      <c r="CX79" s="3" t="s">
        <v>201</v>
      </c>
      <c r="CY79" s="3" t="s">
        <v>201</v>
      </c>
      <c r="CZ79" s="3" t="s">
        <v>201</v>
      </c>
      <c r="DA79" s="3" t="s">
        <v>201</v>
      </c>
      <c r="DB79" s="3" t="s">
        <v>201</v>
      </c>
      <c r="DC79" s="3" t="s">
        <v>201</v>
      </c>
      <c r="DD79" s="3" t="s">
        <v>201</v>
      </c>
      <c r="DE79" s="3" t="s">
        <v>201</v>
      </c>
      <c r="DF79" s="3" t="s">
        <v>201</v>
      </c>
      <c r="DG79" s="3" t="s">
        <v>201</v>
      </c>
      <c r="DH79" s="3" t="s">
        <v>201</v>
      </c>
      <c r="DI79" s="3" t="s">
        <v>201</v>
      </c>
      <c r="DJ79" s="3" t="s">
        <v>201</v>
      </c>
      <c r="DK79" s="3" t="s">
        <v>201</v>
      </c>
      <c r="DL79" s="3" t="s">
        <v>201</v>
      </c>
      <c r="DM79" s="3" t="s">
        <v>201</v>
      </c>
      <c r="DN79" s="3" t="s">
        <v>201</v>
      </c>
      <c r="DO79" s="3" t="s">
        <v>201</v>
      </c>
      <c r="DP79" s="3" t="s">
        <v>201</v>
      </c>
      <c r="DQ79" s="3" t="s">
        <v>201</v>
      </c>
      <c r="DR79">
        <f t="shared" si="2"/>
        <v>2021</v>
      </c>
    </row>
    <row r="80" spans="1:122" x14ac:dyDescent="0.35">
      <c r="A80" s="1">
        <f t="shared" si="3"/>
        <v>44378</v>
      </c>
      <c r="B80" s="2">
        <v>28</v>
      </c>
      <c r="C80" s="2">
        <v>7</v>
      </c>
      <c r="D80" s="2">
        <v>27</v>
      </c>
      <c r="E80" s="2">
        <v>11</v>
      </c>
      <c r="F80" s="2">
        <v>11</v>
      </c>
      <c r="G80" s="2">
        <v>11</v>
      </c>
      <c r="H80" s="2">
        <v>7</v>
      </c>
      <c r="I80" s="2">
        <v>4</v>
      </c>
      <c r="J80" s="2">
        <v>8</v>
      </c>
      <c r="K80" s="2">
        <v>2</v>
      </c>
      <c r="L80" s="2">
        <v>10</v>
      </c>
      <c r="M80" s="2">
        <v>6</v>
      </c>
      <c r="N80" s="3">
        <v>7</v>
      </c>
      <c r="O80" s="3">
        <v>7</v>
      </c>
      <c r="P80" s="3">
        <v>6</v>
      </c>
      <c r="Q80" s="3">
        <v>4</v>
      </c>
      <c r="R80" s="3">
        <v>1</v>
      </c>
      <c r="S80" s="3">
        <v>2</v>
      </c>
      <c r="T80" s="3">
        <v>3</v>
      </c>
      <c r="U80" s="3">
        <v>0</v>
      </c>
      <c r="V80" s="3">
        <v>0</v>
      </c>
      <c r="W80" s="3">
        <v>2</v>
      </c>
      <c r="X80" s="3">
        <v>1</v>
      </c>
      <c r="Y80" s="3">
        <v>0</v>
      </c>
      <c r="Z80" s="3">
        <v>1</v>
      </c>
      <c r="AA80" s="3">
        <v>0</v>
      </c>
      <c r="AB80" s="3">
        <v>1</v>
      </c>
      <c r="AC80" s="3">
        <v>0</v>
      </c>
      <c r="AD80" s="3">
        <v>1</v>
      </c>
      <c r="AE80" s="3">
        <v>1</v>
      </c>
      <c r="AF80" s="3">
        <v>0</v>
      </c>
      <c r="AG80" s="3">
        <v>1</v>
      </c>
      <c r="AH80" s="3">
        <v>1</v>
      </c>
      <c r="AI80" s="3">
        <v>0</v>
      </c>
      <c r="AJ80" s="3">
        <v>1</v>
      </c>
      <c r="AK80" s="3">
        <v>3</v>
      </c>
      <c r="AL80" s="3">
        <v>4</v>
      </c>
      <c r="AM80" s="3">
        <v>1</v>
      </c>
      <c r="AN80" s="3">
        <v>3</v>
      </c>
      <c r="AO80" s="3">
        <v>0</v>
      </c>
      <c r="AP80" s="3">
        <v>0</v>
      </c>
      <c r="AQ80" s="3">
        <v>0</v>
      </c>
      <c r="AR80" s="3" t="s">
        <v>201</v>
      </c>
      <c r="AS80" s="3" t="s">
        <v>201</v>
      </c>
      <c r="AT80" s="3" t="s">
        <v>201</v>
      </c>
      <c r="AU80" s="3" t="s">
        <v>201</v>
      </c>
      <c r="AV80" s="3" t="s">
        <v>201</v>
      </c>
      <c r="AW80" s="3" t="s">
        <v>201</v>
      </c>
      <c r="AX80" s="3" t="s">
        <v>201</v>
      </c>
      <c r="AY80" s="3" t="s">
        <v>201</v>
      </c>
      <c r="AZ80" s="3" t="s">
        <v>201</v>
      </c>
      <c r="BA80" s="3" t="s">
        <v>201</v>
      </c>
      <c r="BB80" s="3" t="s">
        <v>201</v>
      </c>
      <c r="BC80" s="3" t="s">
        <v>201</v>
      </c>
      <c r="BD80" s="3" t="s">
        <v>201</v>
      </c>
      <c r="BE80" s="3" t="s">
        <v>201</v>
      </c>
      <c r="BF80" s="3" t="s">
        <v>201</v>
      </c>
      <c r="BG80" s="3" t="s">
        <v>201</v>
      </c>
      <c r="BH80" s="3" t="s">
        <v>201</v>
      </c>
      <c r="BI80" s="3" t="s">
        <v>201</v>
      </c>
      <c r="BJ80" s="3" t="s">
        <v>201</v>
      </c>
      <c r="BK80" s="3" t="s">
        <v>201</v>
      </c>
      <c r="BL80" s="3" t="s">
        <v>201</v>
      </c>
      <c r="BM80" s="3" t="s">
        <v>201</v>
      </c>
      <c r="BN80" s="3" t="s">
        <v>201</v>
      </c>
      <c r="BO80" s="3" t="s">
        <v>201</v>
      </c>
      <c r="BP80" s="3" t="s">
        <v>201</v>
      </c>
      <c r="BQ80" s="3" t="s">
        <v>201</v>
      </c>
      <c r="BR80" s="3" t="s">
        <v>201</v>
      </c>
      <c r="BS80" s="3" t="s">
        <v>201</v>
      </c>
      <c r="BT80" s="3" t="s">
        <v>201</v>
      </c>
      <c r="BU80" s="3" t="s">
        <v>201</v>
      </c>
      <c r="BV80" s="3" t="s">
        <v>201</v>
      </c>
      <c r="BW80" s="3" t="s">
        <v>201</v>
      </c>
      <c r="BX80" s="3" t="s">
        <v>201</v>
      </c>
      <c r="BY80" s="3" t="s">
        <v>201</v>
      </c>
      <c r="BZ80" s="3" t="s">
        <v>201</v>
      </c>
      <c r="CA80" s="3" t="s">
        <v>201</v>
      </c>
      <c r="CB80" s="3" t="s">
        <v>201</v>
      </c>
      <c r="CC80" s="3" t="s">
        <v>201</v>
      </c>
      <c r="CD80" s="3" t="s">
        <v>201</v>
      </c>
      <c r="CE80" s="3" t="s">
        <v>201</v>
      </c>
      <c r="CF80" s="3" t="s">
        <v>201</v>
      </c>
      <c r="CG80" s="3" t="s">
        <v>201</v>
      </c>
      <c r="CH80" s="3" t="s">
        <v>201</v>
      </c>
      <c r="CI80" s="3" t="s">
        <v>201</v>
      </c>
      <c r="CJ80" s="3" t="s">
        <v>201</v>
      </c>
      <c r="CK80" s="3" t="s">
        <v>201</v>
      </c>
      <c r="CL80" s="3" t="s">
        <v>201</v>
      </c>
      <c r="CM80" s="3" t="s">
        <v>201</v>
      </c>
      <c r="CN80" s="3" t="s">
        <v>201</v>
      </c>
      <c r="CO80" s="3" t="s">
        <v>201</v>
      </c>
      <c r="CP80" s="3" t="s">
        <v>201</v>
      </c>
      <c r="CQ80" s="3" t="s">
        <v>201</v>
      </c>
      <c r="CR80" s="3" t="s">
        <v>201</v>
      </c>
      <c r="CS80" s="3" t="s">
        <v>201</v>
      </c>
      <c r="CT80" s="3" t="s">
        <v>201</v>
      </c>
      <c r="CU80" s="3" t="s">
        <v>201</v>
      </c>
      <c r="CV80" s="3" t="s">
        <v>201</v>
      </c>
      <c r="CW80" s="3" t="s">
        <v>201</v>
      </c>
      <c r="CX80" s="3" t="s">
        <v>201</v>
      </c>
      <c r="CY80" s="3" t="s">
        <v>201</v>
      </c>
      <c r="CZ80" s="3" t="s">
        <v>201</v>
      </c>
      <c r="DA80" s="3" t="s">
        <v>201</v>
      </c>
      <c r="DB80" s="3" t="s">
        <v>201</v>
      </c>
      <c r="DC80" s="3" t="s">
        <v>201</v>
      </c>
      <c r="DD80" s="3" t="s">
        <v>201</v>
      </c>
      <c r="DE80" s="3" t="s">
        <v>201</v>
      </c>
      <c r="DF80" s="3" t="s">
        <v>201</v>
      </c>
      <c r="DG80" s="3" t="s">
        <v>201</v>
      </c>
      <c r="DH80" s="3" t="s">
        <v>201</v>
      </c>
      <c r="DI80" s="3" t="s">
        <v>201</v>
      </c>
      <c r="DJ80" s="3" t="s">
        <v>201</v>
      </c>
      <c r="DK80" s="3" t="s">
        <v>201</v>
      </c>
      <c r="DL80" s="3" t="s">
        <v>201</v>
      </c>
      <c r="DM80" s="3" t="s">
        <v>201</v>
      </c>
      <c r="DN80" s="3" t="s">
        <v>201</v>
      </c>
      <c r="DO80" s="3" t="s">
        <v>201</v>
      </c>
      <c r="DP80" s="3" t="s">
        <v>201</v>
      </c>
      <c r="DQ80" s="3" t="s">
        <v>201</v>
      </c>
      <c r="DR80">
        <f t="shared" si="2"/>
        <v>2021</v>
      </c>
    </row>
    <row r="81" spans="1:122" x14ac:dyDescent="0.35">
      <c r="A81" s="1">
        <f t="shared" si="3"/>
        <v>44409</v>
      </c>
      <c r="B81" s="2">
        <v>17</v>
      </c>
      <c r="C81" s="2">
        <v>14</v>
      </c>
      <c r="D81" s="2">
        <v>19</v>
      </c>
      <c r="E81" s="2">
        <v>8</v>
      </c>
      <c r="F81" s="2">
        <v>4</v>
      </c>
      <c r="G81" s="2">
        <v>3</v>
      </c>
      <c r="H81" s="2">
        <v>4</v>
      </c>
      <c r="I81" s="2">
        <v>2</v>
      </c>
      <c r="J81" s="2">
        <v>3</v>
      </c>
      <c r="K81" s="2">
        <v>4</v>
      </c>
      <c r="L81" s="2">
        <v>2</v>
      </c>
      <c r="M81" s="2">
        <v>0</v>
      </c>
      <c r="N81" s="3">
        <v>1</v>
      </c>
      <c r="O81" s="3">
        <v>0</v>
      </c>
      <c r="P81" s="3">
        <v>5</v>
      </c>
      <c r="Q81" s="3">
        <v>2</v>
      </c>
      <c r="R81" s="3">
        <v>2</v>
      </c>
      <c r="S81" s="3">
        <v>0</v>
      </c>
      <c r="T81" s="3">
        <v>1</v>
      </c>
      <c r="U81" s="3">
        <v>1</v>
      </c>
      <c r="V81" s="3">
        <v>1</v>
      </c>
      <c r="W81" s="3">
        <v>1</v>
      </c>
      <c r="X81" s="3">
        <v>0</v>
      </c>
      <c r="Y81" s="3">
        <v>1</v>
      </c>
      <c r="Z81" s="3">
        <v>0</v>
      </c>
      <c r="AA81" s="3">
        <v>0</v>
      </c>
      <c r="AB81" s="3">
        <v>1</v>
      </c>
      <c r="AC81" s="3">
        <v>0</v>
      </c>
      <c r="AD81" s="3">
        <v>1</v>
      </c>
      <c r="AE81" s="3">
        <v>0</v>
      </c>
      <c r="AF81" s="3">
        <v>2</v>
      </c>
      <c r="AG81" s="3">
        <v>0</v>
      </c>
      <c r="AH81" s="3">
        <v>0</v>
      </c>
      <c r="AI81" s="3">
        <v>1</v>
      </c>
      <c r="AJ81" s="3">
        <v>0</v>
      </c>
      <c r="AK81" s="3">
        <v>0</v>
      </c>
      <c r="AL81" s="3">
        <v>0</v>
      </c>
      <c r="AM81" s="3">
        <v>0</v>
      </c>
      <c r="AN81" s="3">
        <v>0</v>
      </c>
      <c r="AO81" s="3">
        <v>0</v>
      </c>
      <c r="AP81" s="3">
        <v>0</v>
      </c>
      <c r="AQ81" s="3" t="s">
        <v>201</v>
      </c>
      <c r="AR81" s="3" t="s">
        <v>201</v>
      </c>
      <c r="AS81" s="3" t="s">
        <v>201</v>
      </c>
      <c r="AT81" s="3" t="s">
        <v>201</v>
      </c>
      <c r="AU81" s="3" t="s">
        <v>201</v>
      </c>
      <c r="AV81" s="3" t="s">
        <v>201</v>
      </c>
      <c r="AW81" s="3" t="s">
        <v>201</v>
      </c>
      <c r="AX81" s="3" t="s">
        <v>201</v>
      </c>
      <c r="AY81" s="3" t="s">
        <v>201</v>
      </c>
      <c r="AZ81" s="3" t="s">
        <v>201</v>
      </c>
      <c r="BA81" s="3" t="s">
        <v>201</v>
      </c>
      <c r="BB81" s="3" t="s">
        <v>201</v>
      </c>
      <c r="BC81" s="3" t="s">
        <v>201</v>
      </c>
      <c r="BD81" s="3" t="s">
        <v>201</v>
      </c>
      <c r="BE81" s="3" t="s">
        <v>201</v>
      </c>
      <c r="BF81" s="3" t="s">
        <v>201</v>
      </c>
      <c r="BG81" s="3" t="s">
        <v>201</v>
      </c>
      <c r="BH81" s="3" t="s">
        <v>201</v>
      </c>
      <c r="BI81" s="3" t="s">
        <v>201</v>
      </c>
      <c r="BJ81" s="3" t="s">
        <v>201</v>
      </c>
      <c r="BK81" s="3" t="s">
        <v>201</v>
      </c>
      <c r="BL81" s="3" t="s">
        <v>201</v>
      </c>
      <c r="BM81" s="3" t="s">
        <v>201</v>
      </c>
      <c r="BN81" s="3" t="s">
        <v>201</v>
      </c>
      <c r="BO81" s="3" t="s">
        <v>201</v>
      </c>
      <c r="BP81" s="3" t="s">
        <v>201</v>
      </c>
      <c r="BQ81" s="3" t="s">
        <v>201</v>
      </c>
      <c r="BR81" s="3" t="s">
        <v>201</v>
      </c>
      <c r="BS81" s="3" t="s">
        <v>201</v>
      </c>
      <c r="BT81" s="3" t="s">
        <v>201</v>
      </c>
      <c r="BU81" s="3" t="s">
        <v>201</v>
      </c>
      <c r="BV81" s="3" t="s">
        <v>201</v>
      </c>
      <c r="BW81" s="3" t="s">
        <v>201</v>
      </c>
      <c r="BX81" s="3" t="s">
        <v>201</v>
      </c>
      <c r="BY81" s="3" t="s">
        <v>201</v>
      </c>
      <c r="BZ81" s="3" t="s">
        <v>201</v>
      </c>
      <c r="CA81" s="3" t="s">
        <v>201</v>
      </c>
      <c r="CB81" s="3" t="s">
        <v>201</v>
      </c>
      <c r="CC81" s="3" t="s">
        <v>201</v>
      </c>
      <c r="CD81" s="3" t="s">
        <v>201</v>
      </c>
      <c r="CE81" s="3" t="s">
        <v>201</v>
      </c>
      <c r="CF81" s="3" t="s">
        <v>201</v>
      </c>
      <c r="CG81" s="3" t="s">
        <v>201</v>
      </c>
      <c r="CH81" s="3" t="s">
        <v>201</v>
      </c>
      <c r="CI81" s="3" t="s">
        <v>201</v>
      </c>
      <c r="CJ81" s="3" t="s">
        <v>201</v>
      </c>
      <c r="CK81" s="3" t="s">
        <v>201</v>
      </c>
      <c r="CL81" s="3" t="s">
        <v>201</v>
      </c>
      <c r="CM81" s="3" t="s">
        <v>201</v>
      </c>
      <c r="CN81" s="3" t="s">
        <v>201</v>
      </c>
      <c r="CO81" s="3" t="s">
        <v>201</v>
      </c>
      <c r="CP81" s="3" t="s">
        <v>201</v>
      </c>
      <c r="CQ81" s="3" t="s">
        <v>201</v>
      </c>
      <c r="CR81" s="3" t="s">
        <v>201</v>
      </c>
      <c r="CS81" s="3" t="s">
        <v>201</v>
      </c>
      <c r="CT81" s="3" t="s">
        <v>201</v>
      </c>
      <c r="CU81" s="3" t="s">
        <v>201</v>
      </c>
      <c r="CV81" s="3" t="s">
        <v>201</v>
      </c>
      <c r="CW81" s="3" t="s">
        <v>201</v>
      </c>
      <c r="CX81" s="3" t="s">
        <v>201</v>
      </c>
      <c r="CY81" s="3" t="s">
        <v>201</v>
      </c>
      <c r="CZ81" s="3" t="s">
        <v>201</v>
      </c>
      <c r="DA81" s="3" t="s">
        <v>201</v>
      </c>
      <c r="DB81" s="3" t="s">
        <v>201</v>
      </c>
      <c r="DC81" s="3" t="s">
        <v>201</v>
      </c>
      <c r="DD81" s="3" t="s">
        <v>201</v>
      </c>
      <c r="DE81" s="3" t="s">
        <v>201</v>
      </c>
      <c r="DF81" s="3" t="s">
        <v>201</v>
      </c>
      <c r="DG81" s="3" t="s">
        <v>201</v>
      </c>
      <c r="DH81" s="3" t="s">
        <v>201</v>
      </c>
      <c r="DI81" s="3" t="s">
        <v>201</v>
      </c>
      <c r="DJ81" s="3" t="s">
        <v>201</v>
      </c>
      <c r="DK81" s="3" t="s">
        <v>201</v>
      </c>
      <c r="DL81" s="3" t="s">
        <v>201</v>
      </c>
      <c r="DM81" s="3" t="s">
        <v>201</v>
      </c>
      <c r="DN81" s="3" t="s">
        <v>201</v>
      </c>
      <c r="DO81" s="3" t="s">
        <v>201</v>
      </c>
      <c r="DP81" s="3" t="s">
        <v>201</v>
      </c>
      <c r="DQ81" s="3" t="s">
        <v>201</v>
      </c>
      <c r="DR81">
        <f t="shared" si="2"/>
        <v>2021</v>
      </c>
    </row>
    <row r="82" spans="1:122" x14ac:dyDescent="0.35">
      <c r="A82" s="1">
        <f t="shared" si="3"/>
        <v>44440</v>
      </c>
      <c r="B82" s="2">
        <v>15</v>
      </c>
      <c r="C82" s="2">
        <v>18</v>
      </c>
      <c r="D82" s="2">
        <v>29</v>
      </c>
      <c r="E82" s="2">
        <v>8</v>
      </c>
      <c r="F82" s="2">
        <v>6</v>
      </c>
      <c r="G82" s="2">
        <v>5</v>
      </c>
      <c r="H82" s="2">
        <v>3</v>
      </c>
      <c r="I82" s="2">
        <v>3</v>
      </c>
      <c r="J82" s="2">
        <v>4</v>
      </c>
      <c r="K82" s="2">
        <v>6</v>
      </c>
      <c r="L82" s="2">
        <v>6</v>
      </c>
      <c r="M82" s="2">
        <v>2</v>
      </c>
      <c r="N82" s="3">
        <v>4</v>
      </c>
      <c r="O82" s="3">
        <v>2</v>
      </c>
      <c r="P82" s="3">
        <v>1</v>
      </c>
      <c r="Q82" s="3">
        <v>1</v>
      </c>
      <c r="R82" s="3">
        <v>0</v>
      </c>
      <c r="S82" s="3">
        <v>1</v>
      </c>
      <c r="T82" s="3">
        <v>1</v>
      </c>
      <c r="U82" s="3">
        <v>4</v>
      </c>
      <c r="V82" s="3">
        <v>0</v>
      </c>
      <c r="W82" s="3">
        <v>2</v>
      </c>
      <c r="X82" s="3">
        <v>1</v>
      </c>
      <c r="Y82" s="3">
        <v>0</v>
      </c>
      <c r="Z82" s="3">
        <v>2</v>
      </c>
      <c r="AA82" s="3">
        <v>3</v>
      </c>
      <c r="AB82" s="3">
        <v>3</v>
      </c>
      <c r="AC82" s="3">
        <v>1</v>
      </c>
      <c r="AD82" s="3">
        <v>2</v>
      </c>
      <c r="AE82" s="3">
        <v>0</v>
      </c>
      <c r="AF82" s="3">
        <v>1</v>
      </c>
      <c r="AG82" s="3">
        <v>1</v>
      </c>
      <c r="AH82" s="3">
        <v>0</v>
      </c>
      <c r="AI82" s="3">
        <v>0</v>
      </c>
      <c r="AJ82" s="3">
        <v>0</v>
      </c>
      <c r="AK82" s="3">
        <v>2</v>
      </c>
      <c r="AL82" s="3">
        <v>1</v>
      </c>
      <c r="AM82" s="3">
        <v>1</v>
      </c>
      <c r="AN82" s="3">
        <v>0</v>
      </c>
      <c r="AO82" s="3">
        <v>0</v>
      </c>
      <c r="AP82" s="3" t="s">
        <v>201</v>
      </c>
      <c r="AQ82" s="3" t="s">
        <v>201</v>
      </c>
      <c r="AR82" s="3" t="s">
        <v>201</v>
      </c>
      <c r="AS82" s="3" t="s">
        <v>201</v>
      </c>
      <c r="AT82" s="3" t="s">
        <v>201</v>
      </c>
      <c r="AU82" s="3" t="s">
        <v>201</v>
      </c>
      <c r="AV82" s="3" t="s">
        <v>201</v>
      </c>
      <c r="AW82" s="3" t="s">
        <v>201</v>
      </c>
      <c r="AX82" s="3" t="s">
        <v>201</v>
      </c>
      <c r="AY82" s="3" t="s">
        <v>201</v>
      </c>
      <c r="AZ82" s="3" t="s">
        <v>201</v>
      </c>
      <c r="BA82" s="3" t="s">
        <v>201</v>
      </c>
      <c r="BB82" s="3" t="s">
        <v>201</v>
      </c>
      <c r="BC82" s="3" t="s">
        <v>201</v>
      </c>
      <c r="BD82" s="3" t="s">
        <v>201</v>
      </c>
      <c r="BE82" s="3" t="s">
        <v>201</v>
      </c>
      <c r="BF82" s="3" t="s">
        <v>201</v>
      </c>
      <c r="BG82" s="3" t="s">
        <v>201</v>
      </c>
      <c r="BH82" s="3" t="s">
        <v>201</v>
      </c>
      <c r="BI82" s="3" t="s">
        <v>201</v>
      </c>
      <c r="BJ82" s="3" t="s">
        <v>201</v>
      </c>
      <c r="BK82" s="3" t="s">
        <v>201</v>
      </c>
      <c r="BL82" s="3" t="s">
        <v>201</v>
      </c>
      <c r="BM82" s="3" t="s">
        <v>201</v>
      </c>
      <c r="BN82" s="3" t="s">
        <v>201</v>
      </c>
      <c r="BO82" s="3" t="s">
        <v>201</v>
      </c>
      <c r="BP82" s="3" t="s">
        <v>201</v>
      </c>
      <c r="BQ82" s="3" t="s">
        <v>201</v>
      </c>
      <c r="BR82" s="3" t="s">
        <v>201</v>
      </c>
      <c r="BS82" s="3" t="s">
        <v>201</v>
      </c>
      <c r="BT82" s="3" t="s">
        <v>201</v>
      </c>
      <c r="BU82" s="3" t="s">
        <v>201</v>
      </c>
      <c r="BV82" s="3" t="s">
        <v>201</v>
      </c>
      <c r="BW82" s="3" t="s">
        <v>201</v>
      </c>
      <c r="BX82" s="3" t="s">
        <v>201</v>
      </c>
      <c r="BY82" s="3" t="s">
        <v>201</v>
      </c>
      <c r="BZ82" s="3" t="s">
        <v>201</v>
      </c>
      <c r="CA82" s="3" t="s">
        <v>201</v>
      </c>
      <c r="CB82" s="3" t="s">
        <v>201</v>
      </c>
      <c r="CC82" s="3" t="s">
        <v>201</v>
      </c>
      <c r="CD82" s="3" t="s">
        <v>201</v>
      </c>
      <c r="CE82" s="3" t="s">
        <v>201</v>
      </c>
      <c r="CF82" s="3" t="s">
        <v>201</v>
      </c>
      <c r="CG82" s="3" t="s">
        <v>201</v>
      </c>
      <c r="CH82" s="3" t="s">
        <v>201</v>
      </c>
      <c r="CI82" s="3" t="s">
        <v>201</v>
      </c>
      <c r="CJ82" s="3" t="s">
        <v>201</v>
      </c>
      <c r="CK82" s="3" t="s">
        <v>201</v>
      </c>
      <c r="CL82" s="3" t="s">
        <v>201</v>
      </c>
      <c r="CM82" s="3" t="s">
        <v>201</v>
      </c>
      <c r="CN82" s="3" t="s">
        <v>201</v>
      </c>
      <c r="CO82" s="3" t="s">
        <v>201</v>
      </c>
      <c r="CP82" s="3" t="s">
        <v>201</v>
      </c>
      <c r="CQ82" s="3" t="s">
        <v>201</v>
      </c>
      <c r="CR82" s="3" t="s">
        <v>201</v>
      </c>
      <c r="CS82" s="3" t="s">
        <v>201</v>
      </c>
      <c r="CT82" s="3" t="s">
        <v>201</v>
      </c>
      <c r="CU82" s="3" t="s">
        <v>201</v>
      </c>
      <c r="CV82" s="3" t="s">
        <v>201</v>
      </c>
      <c r="CW82" s="3" t="s">
        <v>201</v>
      </c>
      <c r="CX82" s="3" t="s">
        <v>201</v>
      </c>
      <c r="CY82" s="3" t="s">
        <v>201</v>
      </c>
      <c r="CZ82" s="3" t="s">
        <v>201</v>
      </c>
      <c r="DA82" s="3" t="s">
        <v>201</v>
      </c>
      <c r="DB82" s="3" t="s">
        <v>201</v>
      </c>
      <c r="DC82" s="3" t="s">
        <v>201</v>
      </c>
      <c r="DD82" s="3" t="s">
        <v>201</v>
      </c>
      <c r="DE82" s="3" t="s">
        <v>201</v>
      </c>
      <c r="DF82" s="3" t="s">
        <v>201</v>
      </c>
      <c r="DG82" s="3" t="s">
        <v>201</v>
      </c>
      <c r="DH82" s="3" t="s">
        <v>201</v>
      </c>
      <c r="DI82" s="3" t="s">
        <v>201</v>
      </c>
      <c r="DJ82" s="3" t="s">
        <v>201</v>
      </c>
      <c r="DK82" s="3" t="s">
        <v>201</v>
      </c>
      <c r="DL82" s="3" t="s">
        <v>201</v>
      </c>
      <c r="DM82" s="3" t="s">
        <v>201</v>
      </c>
      <c r="DN82" s="3" t="s">
        <v>201</v>
      </c>
      <c r="DO82" s="3" t="s">
        <v>201</v>
      </c>
      <c r="DP82" s="3" t="s">
        <v>201</v>
      </c>
      <c r="DQ82" s="3" t="s">
        <v>201</v>
      </c>
      <c r="DR82">
        <f t="shared" si="2"/>
        <v>2021</v>
      </c>
    </row>
    <row r="83" spans="1:122" x14ac:dyDescent="0.35">
      <c r="A83" s="1">
        <f t="shared" si="3"/>
        <v>44470</v>
      </c>
      <c r="B83" s="2">
        <v>40</v>
      </c>
      <c r="C83" s="2">
        <v>22</v>
      </c>
      <c r="D83" s="2">
        <v>21</v>
      </c>
      <c r="E83" s="2">
        <v>5</v>
      </c>
      <c r="F83" s="2">
        <v>9</v>
      </c>
      <c r="G83" s="2">
        <v>7</v>
      </c>
      <c r="H83" s="2">
        <v>6</v>
      </c>
      <c r="I83" s="2">
        <v>6</v>
      </c>
      <c r="J83" s="2">
        <v>7</v>
      </c>
      <c r="K83" s="2">
        <v>6</v>
      </c>
      <c r="L83" s="2">
        <v>2</v>
      </c>
      <c r="M83" s="2">
        <v>3</v>
      </c>
      <c r="N83" s="3">
        <v>1</v>
      </c>
      <c r="O83" s="3">
        <v>2</v>
      </c>
      <c r="P83" s="3">
        <v>0</v>
      </c>
      <c r="Q83" s="3">
        <v>0</v>
      </c>
      <c r="R83" s="3">
        <v>0</v>
      </c>
      <c r="S83" s="3">
        <v>0</v>
      </c>
      <c r="T83" s="3">
        <v>2</v>
      </c>
      <c r="U83" s="3">
        <v>3</v>
      </c>
      <c r="V83" s="3">
        <v>0</v>
      </c>
      <c r="W83" s="3">
        <v>0</v>
      </c>
      <c r="X83" s="3">
        <v>0</v>
      </c>
      <c r="Y83" s="3">
        <v>0</v>
      </c>
      <c r="Z83" s="3">
        <v>0</v>
      </c>
      <c r="AA83" s="3">
        <v>2</v>
      </c>
      <c r="AB83" s="3">
        <v>2</v>
      </c>
      <c r="AC83" s="3">
        <v>0</v>
      </c>
      <c r="AD83" s="3">
        <v>3</v>
      </c>
      <c r="AE83" s="3">
        <v>0</v>
      </c>
      <c r="AF83" s="3">
        <v>1</v>
      </c>
      <c r="AG83" s="3">
        <v>3</v>
      </c>
      <c r="AH83" s="3">
        <v>1</v>
      </c>
      <c r="AI83" s="3">
        <v>1</v>
      </c>
      <c r="AJ83" s="3">
        <v>1</v>
      </c>
      <c r="AK83" s="3">
        <v>1</v>
      </c>
      <c r="AL83" s="3">
        <v>0</v>
      </c>
      <c r="AM83" s="3">
        <v>0</v>
      </c>
      <c r="AN83" s="3">
        <v>0</v>
      </c>
      <c r="AO83" s="3" t="s">
        <v>201</v>
      </c>
      <c r="AP83" s="3" t="s">
        <v>201</v>
      </c>
      <c r="AQ83" s="3" t="s">
        <v>201</v>
      </c>
      <c r="AR83" s="3" t="s">
        <v>201</v>
      </c>
      <c r="AS83" s="3" t="s">
        <v>201</v>
      </c>
      <c r="AT83" s="3" t="s">
        <v>201</v>
      </c>
      <c r="AU83" s="3" t="s">
        <v>201</v>
      </c>
      <c r="AV83" s="3" t="s">
        <v>201</v>
      </c>
      <c r="AW83" s="3" t="s">
        <v>201</v>
      </c>
      <c r="AX83" s="3" t="s">
        <v>201</v>
      </c>
      <c r="AY83" s="3" t="s">
        <v>201</v>
      </c>
      <c r="AZ83" s="3" t="s">
        <v>201</v>
      </c>
      <c r="BA83" s="3" t="s">
        <v>201</v>
      </c>
      <c r="BB83" s="3" t="s">
        <v>201</v>
      </c>
      <c r="BC83" s="3" t="s">
        <v>201</v>
      </c>
      <c r="BD83" s="3" t="s">
        <v>201</v>
      </c>
      <c r="BE83" s="3" t="s">
        <v>201</v>
      </c>
      <c r="BF83" s="3" t="s">
        <v>201</v>
      </c>
      <c r="BG83" s="3" t="s">
        <v>201</v>
      </c>
      <c r="BH83" s="3" t="s">
        <v>201</v>
      </c>
      <c r="BI83" s="3" t="s">
        <v>201</v>
      </c>
      <c r="BJ83" s="3" t="s">
        <v>201</v>
      </c>
      <c r="BK83" s="3" t="s">
        <v>201</v>
      </c>
      <c r="BL83" s="3" t="s">
        <v>201</v>
      </c>
      <c r="BM83" s="3" t="s">
        <v>201</v>
      </c>
      <c r="BN83" s="3" t="s">
        <v>201</v>
      </c>
      <c r="BO83" s="3" t="s">
        <v>201</v>
      </c>
      <c r="BP83" s="3" t="s">
        <v>201</v>
      </c>
      <c r="BQ83" s="3" t="s">
        <v>201</v>
      </c>
      <c r="BR83" s="3" t="s">
        <v>201</v>
      </c>
      <c r="BS83" s="3" t="s">
        <v>201</v>
      </c>
      <c r="BT83" s="3" t="s">
        <v>201</v>
      </c>
      <c r="BU83" s="3" t="s">
        <v>201</v>
      </c>
      <c r="BV83" s="3" t="s">
        <v>201</v>
      </c>
      <c r="BW83" s="3" t="s">
        <v>201</v>
      </c>
      <c r="BX83" s="3" t="s">
        <v>201</v>
      </c>
      <c r="BY83" s="3" t="s">
        <v>201</v>
      </c>
      <c r="BZ83" s="3" t="s">
        <v>201</v>
      </c>
      <c r="CA83" s="3" t="s">
        <v>201</v>
      </c>
      <c r="CB83" s="3" t="s">
        <v>201</v>
      </c>
      <c r="CC83" s="3" t="s">
        <v>201</v>
      </c>
      <c r="CD83" s="3" t="s">
        <v>201</v>
      </c>
      <c r="CE83" s="3" t="s">
        <v>201</v>
      </c>
      <c r="CF83" s="3" t="s">
        <v>201</v>
      </c>
      <c r="CG83" s="3" t="s">
        <v>201</v>
      </c>
      <c r="CH83" s="3" t="s">
        <v>201</v>
      </c>
      <c r="CI83" s="3" t="s">
        <v>201</v>
      </c>
      <c r="CJ83" s="3" t="s">
        <v>201</v>
      </c>
      <c r="CK83" s="3" t="s">
        <v>201</v>
      </c>
      <c r="CL83" s="3" t="s">
        <v>201</v>
      </c>
      <c r="CM83" s="3" t="s">
        <v>201</v>
      </c>
      <c r="CN83" s="3" t="s">
        <v>201</v>
      </c>
      <c r="CO83" s="3" t="s">
        <v>201</v>
      </c>
      <c r="CP83" s="3" t="s">
        <v>201</v>
      </c>
      <c r="CQ83" s="3" t="s">
        <v>201</v>
      </c>
      <c r="CR83" s="3" t="s">
        <v>201</v>
      </c>
      <c r="CS83" s="3" t="s">
        <v>201</v>
      </c>
      <c r="CT83" s="3" t="s">
        <v>201</v>
      </c>
      <c r="CU83" s="3" t="s">
        <v>201</v>
      </c>
      <c r="CV83" s="3" t="s">
        <v>201</v>
      </c>
      <c r="CW83" s="3" t="s">
        <v>201</v>
      </c>
      <c r="CX83" s="3" t="s">
        <v>201</v>
      </c>
      <c r="CY83" s="3" t="s">
        <v>201</v>
      </c>
      <c r="CZ83" s="3" t="s">
        <v>201</v>
      </c>
      <c r="DA83" s="3" t="s">
        <v>201</v>
      </c>
      <c r="DB83" s="3" t="s">
        <v>201</v>
      </c>
      <c r="DC83" s="3" t="s">
        <v>201</v>
      </c>
      <c r="DD83" s="3" t="s">
        <v>201</v>
      </c>
      <c r="DE83" s="3" t="s">
        <v>201</v>
      </c>
      <c r="DF83" s="3" t="s">
        <v>201</v>
      </c>
      <c r="DG83" s="3" t="s">
        <v>201</v>
      </c>
      <c r="DH83" s="3" t="s">
        <v>201</v>
      </c>
      <c r="DI83" s="3" t="s">
        <v>201</v>
      </c>
      <c r="DJ83" s="3" t="s">
        <v>201</v>
      </c>
      <c r="DK83" s="3" t="s">
        <v>201</v>
      </c>
      <c r="DL83" s="3" t="s">
        <v>201</v>
      </c>
      <c r="DM83" s="3" t="s">
        <v>201</v>
      </c>
      <c r="DN83" s="3" t="s">
        <v>201</v>
      </c>
      <c r="DO83" s="3" t="s">
        <v>201</v>
      </c>
      <c r="DP83" s="3" t="s">
        <v>201</v>
      </c>
      <c r="DQ83" s="3" t="s">
        <v>201</v>
      </c>
      <c r="DR83">
        <f t="shared" si="2"/>
        <v>2021</v>
      </c>
    </row>
    <row r="84" spans="1:122" x14ac:dyDescent="0.35">
      <c r="A84" s="1">
        <f t="shared" si="3"/>
        <v>44501</v>
      </c>
      <c r="B84" s="2">
        <v>6</v>
      </c>
      <c r="C84" s="2">
        <v>25</v>
      </c>
      <c r="D84" s="2">
        <v>5</v>
      </c>
      <c r="E84" s="2">
        <v>4</v>
      </c>
      <c r="F84" s="2">
        <v>10</v>
      </c>
      <c r="G84" s="2">
        <v>2</v>
      </c>
      <c r="H84" s="2">
        <v>2</v>
      </c>
      <c r="I84" s="2">
        <v>1</v>
      </c>
      <c r="J84" s="2">
        <v>5</v>
      </c>
      <c r="K84" s="2">
        <v>1</v>
      </c>
      <c r="L84" s="2">
        <v>1</v>
      </c>
      <c r="M84" s="2">
        <v>4</v>
      </c>
      <c r="N84" s="3">
        <v>4</v>
      </c>
      <c r="O84" s="3">
        <v>2</v>
      </c>
      <c r="P84" s="3">
        <v>1</v>
      </c>
      <c r="Q84" s="3">
        <v>2</v>
      </c>
      <c r="R84" s="3">
        <v>0</v>
      </c>
      <c r="S84" s="3">
        <v>4</v>
      </c>
      <c r="T84" s="3">
        <v>0</v>
      </c>
      <c r="U84" s="3">
        <v>1</v>
      </c>
      <c r="V84" s="3">
        <v>1</v>
      </c>
      <c r="W84" s="3">
        <v>0</v>
      </c>
      <c r="X84" s="3">
        <v>1</v>
      </c>
      <c r="Y84" s="3">
        <v>1</v>
      </c>
      <c r="Z84" s="3">
        <v>0</v>
      </c>
      <c r="AA84" s="3">
        <v>1</v>
      </c>
      <c r="AB84" s="3">
        <v>0</v>
      </c>
      <c r="AC84" s="3">
        <v>0</v>
      </c>
      <c r="AD84" s="3">
        <v>1</v>
      </c>
      <c r="AE84" s="3">
        <v>0</v>
      </c>
      <c r="AF84" s="3">
        <v>1</v>
      </c>
      <c r="AG84" s="3">
        <v>0</v>
      </c>
      <c r="AH84" s="3">
        <v>0</v>
      </c>
      <c r="AI84" s="3">
        <v>0</v>
      </c>
      <c r="AJ84" s="3">
        <v>1</v>
      </c>
      <c r="AK84" s="3">
        <v>0</v>
      </c>
      <c r="AL84" s="3">
        <v>0</v>
      </c>
      <c r="AM84" s="3">
        <v>0</v>
      </c>
      <c r="AN84" s="3" t="s">
        <v>201</v>
      </c>
      <c r="AO84" s="3" t="s">
        <v>201</v>
      </c>
      <c r="AP84" s="3" t="s">
        <v>201</v>
      </c>
      <c r="AQ84" s="3" t="s">
        <v>201</v>
      </c>
      <c r="AR84" s="3" t="s">
        <v>201</v>
      </c>
      <c r="AS84" s="3" t="s">
        <v>201</v>
      </c>
      <c r="AT84" s="3" t="s">
        <v>201</v>
      </c>
      <c r="AU84" s="3" t="s">
        <v>201</v>
      </c>
      <c r="AV84" s="3" t="s">
        <v>201</v>
      </c>
      <c r="AW84" s="3" t="s">
        <v>201</v>
      </c>
      <c r="AX84" s="3" t="s">
        <v>201</v>
      </c>
      <c r="AY84" s="3" t="s">
        <v>201</v>
      </c>
      <c r="AZ84" s="3" t="s">
        <v>201</v>
      </c>
      <c r="BA84" s="3" t="s">
        <v>201</v>
      </c>
      <c r="BB84" s="3" t="s">
        <v>201</v>
      </c>
      <c r="BC84" s="3" t="s">
        <v>201</v>
      </c>
      <c r="BD84" s="3" t="s">
        <v>201</v>
      </c>
      <c r="BE84" s="3" t="s">
        <v>201</v>
      </c>
      <c r="BF84" s="3" t="s">
        <v>201</v>
      </c>
      <c r="BG84" s="3" t="s">
        <v>201</v>
      </c>
      <c r="BH84" s="3" t="s">
        <v>201</v>
      </c>
      <c r="BI84" s="3" t="s">
        <v>201</v>
      </c>
      <c r="BJ84" s="3" t="s">
        <v>201</v>
      </c>
      <c r="BK84" s="3" t="s">
        <v>201</v>
      </c>
      <c r="BL84" s="3" t="s">
        <v>201</v>
      </c>
      <c r="BM84" s="3" t="s">
        <v>201</v>
      </c>
      <c r="BN84" s="3" t="s">
        <v>201</v>
      </c>
      <c r="BO84" s="3" t="s">
        <v>201</v>
      </c>
      <c r="BP84" s="3" t="s">
        <v>201</v>
      </c>
      <c r="BQ84" s="3" t="s">
        <v>201</v>
      </c>
      <c r="BR84" s="3" t="s">
        <v>201</v>
      </c>
      <c r="BS84" s="3" t="s">
        <v>201</v>
      </c>
      <c r="BT84" s="3" t="s">
        <v>201</v>
      </c>
      <c r="BU84" s="3" t="s">
        <v>201</v>
      </c>
      <c r="BV84" s="3" t="s">
        <v>201</v>
      </c>
      <c r="BW84" s="3" t="s">
        <v>201</v>
      </c>
      <c r="BX84" s="3" t="s">
        <v>201</v>
      </c>
      <c r="BY84" s="3" t="s">
        <v>201</v>
      </c>
      <c r="BZ84" s="3" t="s">
        <v>201</v>
      </c>
      <c r="CA84" s="3" t="s">
        <v>201</v>
      </c>
      <c r="CB84" s="3" t="s">
        <v>201</v>
      </c>
      <c r="CC84" s="3" t="s">
        <v>201</v>
      </c>
      <c r="CD84" s="3" t="s">
        <v>201</v>
      </c>
      <c r="CE84" s="3" t="s">
        <v>201</v>
      </c>
      <c r="CF84" s="3" t="s">
        <v>201</v>
      </c>
      <c r="CG84" s="3" t="s">
        <v>201</v>
      </c>
      <c r="CH84" s="3" t="s">
        <v>201</v>
      </c>
      <c r="CI84" s="3" t="s">
        <v>201</v>
      </c>
      <c r="CJ84" s="3" t="s">
        <v>201</v>
      </c>
      <c r="CK84" s="3" t="s">
        <v>201</v>
      </c>
      <c r="CL84" s="3" t="s">
        <v>201</v>
      </c>
      <c r="CM84" s="3" t="s">
        <v>201</v>
      </c>
      <c r="CN84" s="3" t="s">
        <v>201</v>
      </c>
      <c r="CO84" s="3" t="s">
        <v>201</v>
      </c>
      <c r="CP84" s="3" t="s">
        <v>201</v>
      </c>
      <c r="CQ84" s="3" t="s">
        <v>201</v>
      </c>
      <c r="CR84" s="3" t="s">
        <v>201</v>
      </c>
      <c r="CS84" s="3" t="s">
        <v>201</v>
      </c>
      <c r="CT84" s="3" t="s">
        <v>201</v>
      </c>
      <c r="CU84" s="3" t="s">
        <v>201</v>
      </c>
      <c r="CV84" s="3" t="s">
        <v>201</v>
      </c>
      <c r="CW84" s="3" t="s">
        <v>201</v>
      </c>
      <c r="CX84" s="3" t="s">
        <v>201</v>
      </c>
      <c r="CY84" s="3" t="s">
        <v>201</v>
      </c>
      <c r="CZ84" s="3" t="s">
        <v>201</v>
      </c>
      <c r="DA84" s="3" t="s">
        <v>201</v>
      </c>
      <c r="DB84" s="3" t="s">
        <v>201</v>
      </c>
      <c r="DC84" s="3" t="s">
        <v>201</v>
      </c>
      <c r="DD84" s="3" t="s">
        <v>201</v>
      </c>
      <c r="DE84" s="3" t="s">
        <v>201</v>
      </c>
      <c r="DF84" s="3" t="s">
        <v>201</v>
      </c>
      <c r="DG84" s="3" t="s">
        <v>201</v>
      </c>
      <c r="DH84" s="3" t="s">
        <v>201</v>
      </c>
      <c r="DI84" s="3" t="s">
        <v>201</v>
      </c>
      <c r="DJ84" s="3" t="s">
        <v>201</v>
      </c>
      <c r="DK84" s="3" t="s">
        <v>201</v>
      </c>
      <c r="DL84" s="3" t="s">
        <v>201</v>
      </c>
      <c r="DM84" s="3" t="s">
        <v>201</v>
      </c>
      <c r="DN84" s="3" t="s">
        <v>201</v>
      </c>
      <c r="DO84" s="3" t="s">
        <v>201</v>
      </c>
      <c r="DP84" s="3" t="s">
        <v>201</v>
      </c>
      <c r="DQ84" s="3" t="s">
        <v>201</v>
      </c>
      <c r="DR84">
        <f t="shared" si="2"/>
        <v>2021</v>
      </c>
    </row>
    <row r="85" spans="1:122" x14ac:dyDescent="0.35">
      <c r="A85" s="1">
        <f t="shared" si="3"/>
        <v>44531</v>
      </c>
      <c r="B85" s="2">
        <v>15</v>
      </c>
      <c r="C85" s="2">
        <v>9</v>
      </c>
      <c r="D85" s="2">
        <v>23</v>
      </c>
      <c r="E85" s="2">
        <v>11</v>
      </c>
      <c r="F85" s="2">
        <v>6</v>
      </c>
      <c r="G85" s="2">
        <v>6</v>
      </c>
      <c r="H85" s="2">
        <v>6</v>
      </c>
      <c r="I85" s="2">
        <v>1</v>
      </c>
      <c r="J85" s="2">
        <v>2</v>
      </c>
      <c r="K85" s="2">
        <v>4</v>
      </c>
      <c r="L85" s="2">
        <v>2</v>
      </c>
      <c r="M85" s="2">
        <v>3</v>
      </c>
      <c r="N85" s="3">
        <v>5</v>
      </c>
      <c r="O85" s="3">
        <v>3</v>
      </c>
      <c r="P85" s="3">
        <v>2</v>
      </c>
      <c r="Q85" s="3">
        <v>2</v>
      </c>
      <c r="R85" s="3">
        <v>1</v>
      </c>
      <c r="S85" s="3">
        <v>3</v>
      </c>
      <c r="T85" s="3">
        <v>2</v>
      </c>
      <c r="U85" s="3">
        <v>1</v>
      </c>
      <c r="V85" s="3">
        <v>0</v>
      </c>
      <c r="W85" s="3">
        <v>1</v>
      </c>
      <c r="X85" s="3">
        <v>0</v>
      </c>
      <c r="Y85" s="3">
        <v>1</v>
      </c>
      <c r="Z85" s="3">
        <v>1</v>
      </c>
      <c r="AA85" s="3">
        <v>0</v>
      </c>
      <c r="AB85" s="3">
        <v>0</v>
      </c>
      <c r="AC85" s="3">
        <v>2</v>
      </c>
      <c r="AD85" s="3">
        <v>1</v>
      </c>
      <c r="AE85" s="3">
        <v>3</v>
      </c>
      <c r="AF85" s="3">
        <v>1</v>
      </c>
      <c r="AG85" s="3">
        <v>2</v>
      </c>
      <c r="AH85" s="3">
        <v>1</v>
      </c>
      <c r="AI85" s="3">
        <v>1</v>
      </c>
      <c r="AJ85" s="3">
        <v>1</v>
      </c>
      <c r="AK85" s="3">
        <v>0</v>
      </c>
      <c r="AL85" s="3">
        <v>0</v>
      </c>
      <c r="AM85" s="3" t="s">
        <v>201</v>
      </c>
      <c r="AN85" s="3" t="s">
        <v>201</v>
      </c>
      <c r="AO85" s="3" t="s">
        <v>201</v>
      </c>
      <c r="AP85" s="3" t="s">
        <v>201</v>
      </c>
      <c r="AQ85" s="3" t="s">
        <v>201</v>
      </c>
      <c r="AR85" s="3" t="s">
        <v>201</v>
      </c>
      <c r="AS85" s="3" t="s">
        <v>201</v>
      </c>
      <c r="AT85" s="3" t="s">
        <v>201</v>
      </c>
      <c r="AU85" s="3" t="s">
        <v>201</v>
      </c>
      <c r="AV85" s="3" t="s">
        <v>201</v>
      </c>
      <c r="AW85" s="3" t="s">
        <v>201</v>
      </c>
      <c r="AX85" s="3" t="s">
        <v>201</v>
      </c>
      <c r="AY85" s="3" t="s">
        <v>201</v>
      </c>
      <c r="AZ85" s="3" t="s">
        <v>201</v>
      </c>
      <c r="BA85" s="3" t="s">
        <v>201</v>
      </c>
      <c r="BB85" s="3" t="s">
        <v>201</v>
      </c>
      <c r="BC85" s="3" t="s">
        <v>201</v>
      </c>
      <c r="BD85" s="3" t="s">
        <v>201</v>
      </c>
      <c r="BE85" s="3" t="s">
        <v>201</v>
      </c>
      <c r="BF85" s="3" t="s">
        <v>201</v>
      </c>
      <c r="BG85" s="3" t="s">
        <v>201</v>
      </c>
      <c r="BH85" s="3" t="s">
        <v>201</v>
      </c>
      <c r="BI85" s="3" t="s">
        <v>201</v>
      </c>
      <c r="BJ85" s="3" t="s">
        <v>201</v>
      </c>
      <c r="BK85" s="3" t="s">
        <v>201</v>
      </c>
      <c r="BL85" s="3" t="s">
        <v>201</v>
      </c>
      <c r="BM85" s="3" t="s">
        <v>201</v>
      </c>
      <c r="BN85" s="3" t="s">
        <v>201</v>
      </c>
      <c r="BO85" s="3" t="s">
        <v>201</v>
      </c>
      <c r="BP85" s="3" t="s">
        <v>201</v>
      </c>
      <c r="BQ85" s="3" t="s">
        <v>201</v>
      </c>
      <c r="BR85" s="3" t="s">
        <v>201</v>
      </c>
      <c r="BS85" s="3" t="s">
        <v>201</v>
      </c>
      <c r="BT85" s="3" t="s">
        <v>201</v>
      </c>
      <c r="BU85" s="3" t="s">
        <v>201</v>
      </c>
      <c r="BV85" s="3" t="s">
        <v>201</v>
      </c>
      <c r="BW85" s="3" t="s">
        <v>201</v>
      </c>
      <c r="BX85" s="3" t="s">
        <v>201</v>
      </c>
      <c r="BY85" s="3" t="s">
        <v>201</v>
      </c>
      <c r="BZ85" s="3" t="s">
        <v>201</v>
      </c>
      <c r="CA85" s="3" t="s">
        <v>201</v>
      </c>
      <c r="CB85" s="3" t="s">
        <v>201</v>
      </c>
      <c r="CC85" s="3" t="s">
        <v>201</v>
      </c>
      <c r="CD85" s="3" t="s">
        <v>201</v>
      </c>
      <c r="CE85" s="3" t="s">
        <v>201</v>
      </c>
      <c r="CF85" s="3" t="s">
        <v>201</v>
      </c>
      <c r="CG85" s="3" t="s">
        <v>201</v>
      </c>
      <c r="CH85" s="3" t="s">
        <v>201</v>
      </c>
      <c r="CI85" s="3" t="s">
        <v>201</v>
      </c>
      <c r="CJ85" s="3" t="s">
        <v>201</v>
      </c>
      <c r="CK85" s="3" t="s">
        <v>201</v>
      </c>
      <c r="CL85" s="3" t="s">
        <v>201</v>
      </c>
      <c r="CM85" s="3" t="s">
        <v>201</v>
      </c>
      <c r="CN85" s="3" t="s">
        <v>201</v>
      </c>
      <c r="CO85" s="3" t="s">
        <v>201</v>
      </c>
      <c r="CP85" s="3" t="s">
        <v>201</v>
      </c>
      <c r="CQ85" s="3" t="s">
        <v>201</v>
      </c>
      <c r="CR85" s="3" t="s">
        <v>201</v>
      </c>
      <c r="CS85" s="3" t="s">
        <v>201</v>
      </c>
      <c r="CT85" s="3" t="s">
        <v>201</v>
      </c>
      <c r="CU85" s="3" t="s">
        <v>201</v>
      </c>
      <c r="CV85" s="3" t="s">
        <v>201</v>
      </c>
      <c r="CW85" s="3" t="s">
        <v>201</v>
      </c>
      <c r="CX85" s="3" t="s">
        <v>201</v>
      </c>
      <c r="CY85" s="3" t="s">
        <v>201</v>
      </c>
      <c r="CZ85" s="3" t="s">
        <v>201</v>
      </c>
      <c r="DA85" s="3" t="s">
        <v>201</v>
      </c>
      <c r="DB85" s="3" t="s">
        <v>201</v>
      </c>
      <c r="DC85" s="3" t="s">
        <v>201</v>
      </c>
      <c r="DD85" s="3" t="s">
        <v>201</v>
      </c>
      <c r="DE85" s="3" t="s">
        <v>201</v>
      </c>
      <c r="DF85" s="3" t="s">
        <v>201</v>
      </c>
      <c r="DG85" s="3" t="s">
        <v>201</v>
      </c>
      <c r="DH85" s="3" t="s">
        <v>201</v>
      </c>
      <c r="DI85" s="3" t="s">
        <v>201</v>
      </c>
      <c r="DJ85" s="3" t="s">
        <v>201</v>
      </c>
      <c r="DK85" s="3" t="s">
        <v>201</v>
      </c>
      <c r="DL85" s="3" t="s">
        <v>201</v>
      </c>
      <c r="DM85" s="3" t="s">
        <v>201</v>
      </c>
      <c r="DN85" s="3" t="s">
        <v>201</v>
      </c>
      <c r="DO85" s="3" t="s">
        <v>201</v>
      </c>
      <c r="DP85" s="3" t="s">
        <v>201</v>
      </c>
      <c r="DQ85" s="3" t="s">
        <v>201</v>
      </c>
      <c r="DR85">
        <f t="shared" si="2"/>
        <v>2021</v>
      </c>
    </row>
    <row r="86" spans="1:122" x14ac:dyDescent="0.35">
      <c r="A86" s="4">
        <f t="shared" si="3"/>
        <v>44562</v>
      </c>
      <c r="B86" s="5">
        <v>13</v>
      </c>
      <c r="C86" s="5">
        <v>20</v>
      </c>
      <c r="D86" s="5">
        <v>15</v>
      </c>
      <c r="E86" s="5">
        <v>6</v>
      </c>
      <c r="F86" s="5">
        <v>5</v>
      </c>
      <c r="G86" s="5">
        <v>7</v>
      </c>
      <c r="H86" s="5">
        <v>11</v>
      </c>
      <c r="I86" s="5">
        <v>6</v>
      </c>
      <c r="J86" s="5">
        <v>4</v>
      </c>
      <c r="K86" s="5">
        <v>5</v>
      </c>
      <c r="L86" s="5">
        <v>4</v>
      </c>
      <c r="M86" s="5">
        <v>2</v>
      </c>
      <c r="N86" s="5">
        <v>5</v>
      </c>
      <c r="O86" s="5">
        <v>4</v>
      </c>
      <c r="P86" s="5">
        <v>1</v>
      </c>
      <c r="Q86" s="5">
        <v>3</v>
      </c>
      <c r="R86" s="5">
        <v>5</v>
      </c>
      <c r="S86" s="5">
        <v>3</v>
      </c>
      <c r="T86" s="5">
        <v>3</v>
      </c>
      <c r="U86" s="5">
        <v>2</v>
      </c>
      <c r="V86" s="5">
        <v>1</v>
      </c>
      <c r="W86" s="5">
        <v>2</v>
      </c>
      <c r="X86" s="5">
        <v>0</v>
      </c>
      <c r="Y86" s="5">
        <v>2</v>
      </c>
      <c r="Z86" s="5">
        <v>2</v>
      </c>
      <c r="AA86" s="5">
        <v>4</v>
      </c>
      <c r="AB86" s="5">
        <v>0</v>
      </c>
      <c r="AC86" s="5">
        <v>0</v>
      </c>
      <c r="AD86" s="5">
        <v>2</v>
      </c>
      <c r="AE86" s="5">
        <v>1</v>
      </c>
      <c r="AF86" s="5">
        <v>0</v>
      </c>
      <c r="AG86" s="5">
        <v>0</v>
      </c>
      <c r="AH86" s="5">
        <v>1</v>
      </c>
      <c r="AI86" s="5">
        <v>1</v>
      </c>
      <c r="AJ86" s="5">
        <v>0</v>
      </c>
      <c r="AK86" s="5">
        <v>0</v>
      </c>
      <c r="AL86" s="5" t="s">
        <v>201</v>
      </c>
      <c r="AM86" s="5" t="s">
        <v>201</v>
      </c>
      <c r="AN86" s="5" t="s">
        <v>201</v>
      </c>
      <c r="AO86" s="5" t="s">
        <v>201</v>
      </c>
      <c r="AP86" s="5" t="s">
        <v>201</v>
      </c>
      <c r="AQ86" s="5" t="s">
        <v>201</v>
      </c>
      <c r="AR86" s="5" t="s">
        <v>201</v>
      </c>
      <c r="AS86" s="5" t="s">
        <v>201</v>
      </c>
      <c r="AT86" s="5" t="s">
        <v>201</v>
      </c>
      <c r="AU86" s="5" t="s">
        <v>201</v>
      </c>
      <c r="AV86" s="5" t="s">
        <v>201</v>
      </c>
      <c r="AW86" s="5" t="s">
        <v>201</v>
      </c>
      <c r="AX86" s="5" t="s">
        <v>201</v>
      </c>
      <c r="AY86" s="5" t="s">
        <v>201</v>
      </c>
      <c r="AZ86" s="5" t="s">
        <v>201</v>
      </c>
      <c r="BA86" s="5" t="s">
        <v>201</v>
      </c>
      <c r="BB86" s="5" t="s">
        <v>201</v>
      </c>
      <c r="BC86" s="5" t="s">
        <v>201</v>
      </c>
      <c r="BD86" s="5" t="s">
        <v>201</v>
      </c>
      <c r="BE86" s="5" t="s">
        <v>201</v>
      </c>
      <c r="BF86" s="5" t="s">
        <v>201</v>
      </c>
      <c r="BG86" s="5" t="s">
        <v>201</v>
      </c>
      <c r="BH86" s="5" t="s">
        <v>201</v>
      </c>
      <c r="BI86" s="5" t="s">
        <v>201</v>
      </c>
      <c r="BJ86" s="5" t="s">
        <v>201</v>
      </c>
      <c r="BK86" s="5" t="s">
        <v>201</v>
      </c>
      <c r="BL86" s="5" t="s">
        <v>201</v>
      </c>
      <c r="BM86" s="5" t="s">
        <v>201</v>
      </c>
      <c r="BN86" s="5" t="s">
        <v>201</v>
      </c>
      <c r="BO86" s="5" t="s">
        <v>201</v>
      </c>
      <c r="BP86" s="5" t="s">
        <v>201</v>
      </c>
      <c r="BQ86" s="5" t="s">
        <v>201</v>
      </c>
      <c r="BR86" s="5" t="s">
        <v>201</v>
      </c>
      <c r="BS86" s="5" t="s">
        <v>201</v>
      </c>
      <c r="BT86" s="5" t="s">
        <v>201</v>
      </c>
      <c r="BU86" s="5" t="s">
        <v>201</v>
      </c>
      <c r="BV86" s="5" t="s">
        <v>201</v>
      </c>
      <c r="BW86" s="5" t="s">
        <v>201</v>
      </c>
      <c r="BX86" s="5" t="s">
        <v>201</v>
      </c>
      <c r="BY86" s="5" t="s">
        <v>201</v>
      </c>
      <c r="BZ86" s="5" t="s">
        <v>201</v>
      </c>
      <c r="CA86" s="5" t="s">
        <v>201</v>
      </c>
      <c r="CB86" s="5" t="s">
        <v>201</v>
      </c>
      <c r="CC86" s="5" t="s">
        <v>201</v>
      </c>
      <c r="CD86" s="5" t="s">
        <v>201</v>
      </c>
      <c r="CE86" s="5" t="s">
        <v>201</v>
      </c>
      <c r="CF86" s="5" t="s">
        <v>201</v>
      </c>
      <c r="CG86" s="5" t="s">
        <v>201</v>
      </c>
      <c r="CH86" s="5" t="s">
        <v>201</v>
      </c>
      <c r="CI86" s="5" t="s">
        <v>201</v>
      </c>
      <c r="CJ86" s="5" t="s">
        <v>201</v>
      </c>
      <c r="CK86" s="5" t="s">
        <v>201</v>
      </c>
      <c r="CL86" s="5" t="s">
        <v>201</v>
      </c>
      <c r="CM86" s="5" t="s">
        <v>201</v>
      </c>
      <c r="CN86" s="5" t="s">
        <v>201</v>
      </c>
      <c r="CO86" s="5" t="s">
        <v>201</v>
      </c>
      <c r="CP86" s="5" t="s">
        <v>201</v>
      </c>
      <c r="CQ86" s="5" t="s">
        <v>201</v>
      </c>
      <c r="CR86" s="5" t="s">
        <v>201</v>
      </c>
      <c r="CS86" s="5" t="s">
        <v>201</v>
      </c>
      <c r="CT86" s="5" t="s">
        <v>201</v>
      </c>
      <c r="CU86" s="5" t="s">
        <v>201</v>
      </c>
      <c r="CV86" s="5" t="s">
        <v>201</v>
      </c>
      <c r="CW86" s="5" t="s">
        <v>201</v>
      </c>
      <c r="CX86" s="5" t="s">
        <v>201</v>
      </c>
      <c r="CY86" s="5" t="s">
        <v>201</v>
      </c>
      <c r="CZ86" s="5" t="s">
        <v>201</v>
      </c>
      <c r="DA86" s="5" t="s">
        <v>201</v>
      </c>
      <c r="DB86" s="5" t="s">
        <v>201</v>
      </c>
      <c r="DC86" s="5" t="s">
        <v>201</v>
      </c>
      <c r="DD86" s="5" t="s">
        <v>201</v>
      </c>
      <c r="DE86" s="5" t="s">
        <v>201</v>
      </c>
      <c r="DF86" s="5" t="s">
        <v>201</v>
      </c>
      <c r="DG86" s="5" t="s">
        <v>201</v>
      </c>
      <c r="DH86" s="5" t="s">
        <v>201</v>
      </c>
      <c r="DI86" s="5" t="s">
        <v>201</v>
      </c>
      <c r="DJ86" s="5" t="s">
        <v>201</v>
      </c>
      <c r="DK86" s="5" t="s">
        <v>201</v>
      </c>
      <c r="DL86" s="5" t="s">
        <v>201</v>
      </c>
      <c r="DM86" s="5" t="s">
        <v>201</v>
      </c>
      <c r="DN86" s="5" t="s">
        <v>201</v>
      </c>
      <c r="DO86" s="5" t="s">
        <v>201</v>
      </c>
      <c r="DP86" s="5" t="s">
        <v>201</v>
      </c>
      <c r="DQ86" s="5" t="s">
        <v>201</v>
      </c>
      <c r="DR86">
        <f t="shared" si="2"/>
        <v>2022</v>
      </c>
    </row>
    <row r="87" spans="1:122" x14ac:dyDescent="0.35">
      <c r="A87" s="1">
        <f t="shared" si="3"/>
        <v>44593</v>
      </c>
      <c r="B87" s="2">
        <v>24</v>
      </c>
      <c r="C87" s="2">
        <v>21</v>
      </c>
      <c r="D87" s="2">
        <v>11</v>
      </c>
      <c r="E87" s="2">
        <v>11</v>
      </c>
      <c r="F87" s="2">
        <v>10</v>
      </c>
      <c r="G87" s="2">
        <v>9</v>
      </c>
      <c r="H87" s="2">
        <v>9</v>
      </c>
      <c r="I87" s="2">
        <v>4</v>
      </c>
      <c r="J87" s="2">
        <v>6</v>
      </c>
      <c r="K87" s="2">
        <v>6</v>
      </c>
      <c r="L87" s="2">
        <v>0</v>
      </c>
      <c r="M87" s="2">
        <v>7</v>
      </c>
      <c r="N87" s="3">
        <v>3</v>
      </c>
      <c r="O87" s="3">
        <v>7</v>
      </c>
      <c r="P87" s="3">
        <v>4</v>
      </c>
      <c r="Q87" s="3">
        <v>2</v>
      </c>
      <c r="R87" s="3">
        <v>4</v>
      </c>
      <c r="S87" s="3">
        <v>2</v>
      </c>
      <c r="T87" s="3">
        <v>3</v>
      </c>
      <c r="U87" s="3">
        <v>3</v>
      </c>
      <c r="V87" s="3">
        <v>1</v>
      </c>
      <c r="W87" s="3">
        <v>2</v>
      </c>
      <c r="X87" s="3">
        <v>2</v>
      </c>
      <c r="Y87" s="3">
        <v>2</v>
      </c>
      <c r="Z87" s="3">
        <v>2</v>
      </c>
      <c r="AA87" s="3">
        <v>3</v>
      </c>
      <c r="AB87" s="3">
        <v>0</v>
      </c>
      <c r="AC87" s="3">
        <v>0</v>
      </c>
      <c r="AD87" s="3">
        <v>0</v>
      </c>
      <c r="AE87" s="3">
        <v>1</v>
      </c>
      <c r="AF87" s="3">
        <v>1</v>
      </c>
      <c r="AG87" s="3">
        <v>1</v>
      </c>
      <c r="AH87" s="3">
        <v>0</v>
      </c>
      <c r="AI87" s="3">
        <v>1</v>
      </c>
      <c r="AJ87" s="3">
        <v>1</v>
      </c>
      <c r="AK87" s="3" t="s">
        <v>201</v>
      </c>
      <c r="AL87" s="3" t="s">
        <v>201</v>
      </c>
      <c r="AM87" s="3" t="s">
        <v>201</v>
      </c>
      <c r="AN87" s="3" t="s">
        <v>201</v>
      </c>
      <c r="AO87" s="3" t="s">
        <v>201</v>
      </c>
      <c r="AP87" s="3" t="s">
        <v>201</v>
      </c>
      <c r="AQ87" s="3" t="s">
        <v>201</v>
      </c>
      <c r="AR87" s="3" t="s">
        <v>201</v>
      </c>
      <c r="AS87" s="3" t="s">
        <v>201</v>
      </c>
      <c r="AT87" s="3" t="s">
        <v>201</v>
      </c>
      <c r="AU87" s="3" t="s">
        <v>201</v>
      </c>
      <c r="AV87" s="3" t="s">
        <v>201</v>
      </c>
      <c r="AW87" s="3" t="s">
        <v>201</v>
      </c>
      <c r="AX87" s="3" t="s">
        <v>201</v>
      </c>
      <c r="AY87" s="3" t="s">
        <v>201</v>
      </c>
      <c r="AZ87" s="3" t="s">
        <v>201</v>
      </c>
      <c r="BA87" s="3" t="s">
        <v>201</v>
      </c>
      <c r="BB87" s="3" t="s">
        <v>201</v>
      </c>
      <c r="BC87" s="3" t="s">
        <v>201</v>
      </c>
      <c r="BD87" s="3" t="s">
        <v>201</v>
      </c>
      <c r="BE87" s="3" t="s">
        <v>201</v>
      </c>
      <c r="BF87" s="3" t="s">
        <v>201</v>
      </c>
      <c r="BG87" s="3" t="s">
        <v>201</v>
      </c>
      <c r="BH87" s="3" t="s">
        <v>201</v>
      </c>
      <c r="BI87" s="3" t="s">
        <v>201</v>
      </c>
      <c r="BJ87" s="3" t="s">
        <v>201</v>
      </c>
      <c r="BK87" s="3" t="s">
        <v>201</v>
      </c>
      <c r="BL87" s="3" t="s">
        <v>201</v>
      </c>
      <c r="BM87" s="3" t="s">
        <v>201</v>
      </c>
      <c r="BN87" s="3" t="s">
        <v>201</v>
      </c>
      <c r="BO87" s="3" t="s">
        <v>201</v>
      </c>
      <c r="BP87" s="3" t="s">
        <v>201</v>
      </c>
      <c r="BQ87" s="3" t="s">
        <v>201</v>
      </c>
      <c r="BR87" s="3" t="s">
        <v>201</v>
      </c>
      <c r="BS87" s="3" t="s">
        <v>201</v>
      </c>
      <c r="BT87" s="3" t="s">
        <v>201</v>
      </c>
      <c r="BU87" s="3" t="s">
        <v>201</v>
      </c>
      <c r="BV87" s="3" t="s">
        <v>201</v>
      </c>
      <c r="BW87" s="3" t="s">
        <v>201</v>
      </c>
      <c r="BX87" s="3" t="s">
        <v>201</v>
      </c>
      <c r="BY87" s="3" t="s">
        <v>201</v>
      </c>
      <c r="BZ87" s="3" t="s">
        <v>201</v>
      </c>
      <c r="CA87" s="3" t="s">
        <v>201</v>
      </c>
      <c r="CB87" s="3" t="s">
        <v>201</v>
      </c>
      <c r="CC87" s="3" t="s">
        <v>201</v>
      </c>
      <c r="CD87" s="3" t="s">
        <v>201</v>
      </c>
      <c r="CE87" s="3" t="s">
        <v>201</v>
      </c>
      <c r="CF87" s="3" t="s">
        <v>201</v>
      </c>
      <c r="CG87" s="3" t="s">
        <v>201</v>
      </c>
      <c r="CH87" s="3" t="s">
        <v>201</v>
      </c>
      <c r="CI87" s="3" t="s">
        <v>201</v>
      </c>
      <c r="CJ87" s="3" t="s">
        <v>201</v>
      </c>
      <c r="CK87" s="3" t="s">
        <v>201</v>
      </c>
      <c r="CL87" s="3" t="s">
        <v>201</v>
      </c>
      <c r="CM87" s="3" t="s">
        <v>201</v>
      </c>
      <c r="CN87" s="3" t="s">
        <v>201</v>
      </c>
      <c r="CO87" s="3" t="s">
        <v>201</v>
      </c>
      <c r="CP87" s="3" t="s">
        <v>201</v>
      </c>
      <c r="CQ87" s="3" t="s">
        <v>201</v>
      </c>
      <c r="CR87" s="3" t="s">
        <v>201</v>
      </c>
      <c r="CS87" s="3" t="s">
        <v>201</v>
      </c>
      <c r="CT87" s="3" t="s">
        <v>201</v>
      </c>
      <c r="CU87" s="3" t="s">
        <v>201</v>
      </c>
      <c r="CV87" s="3" t="s">
        <v>201</v>
      </c>
      <c r="CW87" s="3" t="s">
        <v>201</v>
      </c>
      <c r="CX87" s="3" t="s">
        <v>201</v>
      </c>
      <c r="CY87" s="3" t="s">
        <v>201</v>
      </c>
      <c r="CZ87" s="3" t="s">
        <v>201</v>
      </c>
      <c r="DA87" s="3" t="s">
        <v>201</v>
      </c>
      <c r="DB87" s="3" t="s">
        <v>201</v>
      </c>
      <c r="DC87" s="3" t="s">
        <v>201</v>
      </c>
      <c r="DD87" s="3" t="s">
        <v>201</v>
      </c>
      <c r="DE87" s="3" t="s">
        <v>201</v>
      </c>
      <c r="DF87" s="3" t="s">
        <v>201</v>
      </c>
      <c r="DG87" s="3" t="s">
        <v>201</v>
      </c>
      <c r="DH87" s="3" t="s">
        <v>201</v>
      </c>
      <c r="DI87" s="3" t="s">
        <v>201</v>
      </c>
      <c r="DJ87" s="3" t="s">
        <v>201</v>
      </c>
      <c r="DK87" s="3" t="s">
        <v>201</v>
      </c>
      <c r="DL87" s="3" t="s">
        <v>201</v>
      </c>
      <c r="DM87" s="3" t="s">
        <v>201</v>
      </c>
      <c r="DN87" s="3" t="s">
        <v>201</v>
      </c>
      <c r="DO87" s="3" t="s">
        <v>201</v>
      </c>
      <c r="DP87" s="3" t="s">
        <v>201</v>
      </c>
      <c r="DQ87" s="3" t="s">
        <v>201</v>
      </c>
      <c r="DR87">
        <f t="shared" si="2"/>
        <v>2022</v>
      </c>
    </row>
    <row r="88" spans="1:122" x14ac:dyDescent="0.35">
      <c r="A88" s="1">
        <f t="shared" si="3"/>
        <v>44621</v>
      </c>
      <c r="B88" s="2">
        <v>19</v>
      </c>
      <c r="C88" s="2">
        <v>11</v>
      </c>
      <c r="D88" s="2">
        <v>7</v>
      </c>
      <c r="E88" s="2">
        <v>13</v>
      </c>
      <c r="F88" s="2">
        <v>12</v>
      </c>
      <c r="G88" s="2">
        <v>8</v>
      </c>
      <c r="H88" s="2">
        <v>9</v>
      </c>
      <c r="I88" s="2">
        <v>7</v>
      </c>
      <c r="J88" s="2">
        <v>8</v>
      </c>
      <c r="K88" s="2">
        <v>4</v>
      </c>
      <c r="L88" s="2">
        <v>7</v>
      </c>
      <c r="M88" s="2">
        <v>8</v>
      </c>
      <c r="N88" s="3">
        <v>6</v>
      </c>
      <c r="O88" s="3">
        <v>12</v>
      </c>
      <c r="P88" s="3">
        <v>3</v>
      </c>
      <c r="Q88" s="3">
        <v>3</v>
      </c>
      <c r="R88" s="3">
        <v>4</v>
      </c>
      <c r="S88" s="3">
        <v>4</v>
      </c>
      <c r="T88" s="3">
        <v>3</v>
      </c>
      <c r="U88" s="3">
        <v>0</v>
      </c>
      <c r="V88" s="3">
        <v>2</v>
      </c>
      <c r="W88" s="3">
        <v>1</v>
      </c>
      <c r="X88" s="3">
        <v>0</v>
      </c>
      <c r="Y88" s="3">
        <v>2</v>
      </c>
      <c r="Z88" s="3">
        <v>3</v>
      </c>
      <c r="AA88" s="3">
        <v>1</v>
      </c>
      <c r="AB88" s="3">
        <v>1</v>
      </c>
      <c r="AC88" s="3">
        <v>2</v>
      </c>
      <c r="AD88" s="3">
        <v>2</v>
      </c>
      <c r="AE88" s="3">
        <v>4</v>
      </c>
      <c r="AF88" s="3">
        <v>0</v>
      </c>
      <c r="AG88" s="3">
        <v>0</v>
      </c>
      <c r="AH88" s="3">
        <v>1</v>
      </c>
      <c r="AI88" s="3">
        <v>0</v>
      </c>
      <c r="AJ88" s="3" t="s">
        <v>201</v>
      </c>
      <c r="AK88" s="3" t="s">
        <v>201</v>
      </c>
      <c r="AL88" s="3" t="s">
        <v>201</v>
      </c>
      <c r="AM88" s="3" t="s">
        <v>201</v>
      </c>
      <c r="AN88" s="3" t="s">
        <v>201</v>
      </c>
      <c r="AO88" s="3" t="s">
        <v>201</v>
      </c>
      <c r="AP88" s="3" t="s">
        <v>201</v>
      </c>
      <c r="AQ88" s="3" t="s">
        <v>201</v>
      </c>
      <c r="AR88" s="3" t="s">
        <v>201</v>
      </c>
      <c r="AS88" s="3" t="s">
        <v>201</v>
      </c>
      <c r="AT88" s="3" t="s">
        <v>201</v>
      </c>
      <c r="AU88" s="3" t="s">
        <v>201</v>
      </c>
      <c r="AV88" s="3" t="s">
        <v>201</v>
      </c>
      <c r="AW88" s="3" t="s">
        <v>201</v>
      </c>
      <c r="AX88" s="3" t="s">
        <v>201</v>
      </c>
      <c r="AY88" s="3" t="s">
        <v>201</v>
      </c>
      <c r="AZ88" s="3" t="s">
        <v>201</v>
      </c>
      <c r="BA88" s="3" t="s">
        <v>201</v>
      </c>
      <c r="BB88" s="3" t="s">
        <v>201</v>
      </c>
      <c r="BC88" s="3" t="s">
        <v>201</v>
      </c>
      <c r="BD88" s="3" t="s">
        <v>201</v>
      </c>
      <c r="BE88" s="3" t="s">
        <v>201</v>
      </c>
      <c r="BF88" s="3" t="s">
        <v>201</v>
      </c>
      <c r="BG88" s="3" t="s">
        <v>201</v>
      </c>
      <c r="BH88" s="3" t="s">
        <v>201</v>
      </c>
      <c r="BI88" s="3" t="s">
        <v>201</v>
      </c>
      <c r="BJ88" s="3" t="s">
        <v>201</v>
      </c>
      <c r="BK88" s="3" t="s">
        <v>201</v>
      </c>
      <c r="BL88" s="3" t="s">
        <v>201</v>
      </c>
      <c r="BM88" s="3" t="s">
        <v>201</v>
      </c>
      <c r="BN88" s="3" t="s">
        <v>201</v>
      </c>
      <c r="BO88" s="3" t="s">
        <v>201</v>
      </c>
      <c r="BP88" s="3" t="s">
        <v>201</v>
      </c>
      <c r="BQ88" s="3" t="s">
        <v>201</v>
      </c>
      <c r="BR88" s="3" t="s">
        <v>201</v>
      </c>
      <c r="BS88" s="3" t="s">
        <v>201</v>
      </c>
      <c r="BT88" s="3" t="s">
        <v>201</v>
      </c>
      <c r="BU88" s="3" t="s">
        <v>201</v>
      </c>
      <c r="BV88" s="3" t="s">
        <v>201</v>
      </c>
      <c r="BW88" s="3" t="s">
        <v>201</v>
      </c>
      <c r="BX88" s="3" t="s">
        <v>201</v>
      </c>
      <c r="BY88" s="3" t="s">
        <v>201</v>
      </c>
      <c r="BZ88" s="3" t="s">
        <v>201</v>
      </c>
      <c r="CA88" s="3" t="s">
        <v>201</v>
      </c>
      <c r="CB88" s="3" t="s">
        <v>201</v>
      </c>
      <c r="CC88" s="3" t="s">
        <v>201</v>
      </c>
      <c r="CD88" s="3" t="s">
        <v>201</v>
      </c>
      <c r="CE88" s="3" t="s">
        <v>201</v>
      </c>
      <c r="CF88" s="3" t="s">
        <v>201</v>
      </c>
      <c r="CG88" s="3" t="s">
        <v>201</v>
      </c>
      <c r="CH88" s="3" t="s">
        <v>201</v>
      </c>
      <c r="CI88" s="3" t="s">
        <v>201</v>
      </c>
      <c r="CJ88" s="3" t="s">
        <v>201</v>
      </c>
      <c r="CK88" s="3" t="s">
        <v>201</v>
      </c>
      <c r="CL88" s="3" t="s">
        <v>201</v>
      </c>
      <c r="CM88" s="3" t="s">
        <v>201</v>
      </c>
      <c r="CN88" s="3" t="s">
        <v>201</v>
      </c>
      <c r="CO88" s="3" t="s">
        <v>201</v>
      </c>
      <c r="CP88" s="3" t="s">
        <v>201</v>
      </c>
      <c r="CQ88" s="3" t="s">
        <v>201</v>
      </c>
      <c r="CR88" s="3" t="s">
        <v>201</v>
      </c>
      <c r="CS88" s="3" t="s">
        <v>201</v>
      </c>
      <c r="CT88" s="3" t="s">
        <v>201</v>
      </c>
      <c r="CU88" s="3" t="s">
        <v>201</v>
      </c>
      <c r="CV88" s="3" t="s">
        <v>201</v>
      </c>
      <c r="CW88" s="3" t="s">
        <v>201</v>
      </c>
      <c r="CX88" s="3" t="s">
        <v>201</v>
      </c>
      <c r="CY88" s="3" t="s">
        <v>201</v>
      </c>
      <c r="CZ88" s="3" t="s">
        <v>201</v>
      </c>
      <c r="DA88" s="3" t="s">
        <v>201</v>
      </c>
      <c r="DB88" s="3" t="s">
        <v>201</v>
      </c>
      <c r="DC88" s="3" t="s">
        <v>201</v>
      </c>
      <c r="DD88" s="3" t="s">
        <v>201</v>
      </c>
      <c r="DE88" s="3" t="s">
        <v>201</v>
      </c>
      <c r="DF88" s="3" t="s">
        <v>201</v>
      </c>
      <c r="DG88" s="3" t="s">
        <v>201</v>
      </c>
      <c r="DH88" s="3" t="s">
        <v>201</v>
      </c>
      <c r="DI88" s="3" t="s">
        <v>201</v>
      </c>
      <c r="DJ88" s="3" t="s">
        <v>201</v>
      </c>
      <c r="DK88" s="3" t="s">
        <v>201</v>
      </c>
      <c r="DL88" s="3" t="s">
        <v>201</v>
      </c>
      <c r="DM88" s="3" t="s">
        <v>201</v>
      </c>
      <c r="DN88" s="3" t="s">
        <v>201</v>
      </c>
      <c r="DO88" s="3" t="s">
        <v>201</v>
      </c>
      <c r="DP88" s="3" t="s">
        <v>201</v>
      </c>
      <c r="DQ88" s="3" t="s">
        <v>201</v>
      </c>
      <c r="DR88">
        <f t="shared" si="2"/>
        <v>2022</v>
      </c>
    </row>
    <row r="89" spans="1:122" x14ac:dyDescent="0.35">
      <c r="A89" s="1">
        <f t="shared" si="3"/>
        <v>44652</v>
      </c>
      <c r="B89" s="2">
        <v>25</v>
      </c>
      <c r="C89" s="2">
        <v>18</v>
      </c>
      <c r="D89" s="2">
        <v>15</v>
      </c>
      <c r="E89" s="2">
        <v>23</v>
      </c>
      <c r="F89" s="2">
        <v>13</v>
      </c>
      <c r="G89" s="2">
        <v>12</v>
      </c>
      <c r="H89" s="2">
        <v>7</v>
      </c>
      <c r="I89" s="2">
        <v>12</v>
      </c>
      <c r="J89" s="2">
        <v>8</v>
      </c>
      <c r="K89" s="2">
        <v>4</v>
      </c>
      <c r="L89" s="2">
        <v>9</v>
      </c>
      <c r="M89" s="2">
        <v>8</v>
      </c>
      <c r="N89" s="3">
        <v>7</v>
      </c>
      <c r="O89" s="3">
        <v>5</v>
      </c>
      <c r="P89" s="3">
        <v>1</v>
      </c>
      <c r="Q89" s="3">
        <v>2</v>
      </c>
      <c r="R89" s="3">
        <v>2</v>
      </c>
      <c r="S89" s="3">
        <v>4</v>
      </c>
      <c r="T89" s="3">
        <v>1</v>
      </c>
      <c r="U89" s="3">
        <v>3</v>
      </c>
      <c r="V89" s="3">
        <v>6</v>
      </c>
      <c r="W89" s="3">
        <v>0</v>
      </c>
      <c r="X89" s="3">
        <v>1</v>
      </c>
      <c r="Y89" s="3">
        <v>3</v>
      </c>
      <c r="Z89" s="3">
        <v>1</v>
      </c>
      <c r="AA89" s="3">
        <v>2</v>
      </c>
      <c r="AB89" s="3">
        <v>1</v>
      </c>
      <c r="AC89" s="3">
        <v>1</v>
      </c>
      <c r="AD89" s="3">
        <v>0</v>
      </c>
      <c r="AE89" s="3">
        <v>3</v>
      </c>
      <c r="AF89" s="3">
        <v>5</v>
      </c>
      <c r="AG89" s="3">
        <v>0</v>
      </c>
      <c r="AH89" s="3">
        <v>0</v>
      </c>
      <c r="AI89" s="3" t="s">
        <v>201</v>
      </c>
      <c r="AJ89" s="3" t="s">
        <v>201</v>
      </c>
      <c r="AK89" s="3" t="s">
        <v>201</v>
      </c>
      <c r="AL89" s="3" t="s">
        <v>201</v>
      </c>
      <c r="AM89" s="3" t="s">
        <v>201</v>
      </c>
      <c r="AN89" s="3" t="s">
        <v>201</v>
      </c>
      <c r="AO89" s="3" t="s">
        <v>201</v>
      </c>
      <c r="AP89" s="3" t="s">
        <v>201</v>
      </c>
      <c r="AQ89" s="3" t="s">
        <v>201</v>
      </c>
      <c r="AR89" s="3" t="s">
        <v>201</v>
      </c>
      <c r="AS89" s="3" t="s">
        <v>201</v>
      </c>
      <c r="AT89" s="3" t="s">
        <v>201</v>
      </c>
      <c r="AU89" s="3" t="s">
        <v>201</v>
      </c>
      <c r="AV89" s="3" t="s">
        <v>201</v>
      </c>
      <c r="AW89" s="3" t="s">
        <v>201</v>
      </c>
      <c r="AX89" s="3" t="s">
        <v>201</v>
      </c>
      <c r="AY89" s="3" t="s">
        <v>201</v>
      </c>
      <c r="AZ89" s="3" t="s">
        <v>201</v>
      </c>
      <c r="BA89" s="3" t="s">
        <v>201</v>
      </c>
      <c r="BB89" s="3" t="s">
        <v>201</v>
      </c>
      <c r="BC89" s="3" t="s">
        <v>201</v>
      </c>
      <c r="BD89" s="3" t="s">
        <v>201</v>
      </c>
      <c r="BE89" s="3" t="s">
        <v>201</v>
      </c>
      <c r="BF89" s="3" t="s">
        <v>201</v>
      </c>
      <c r="BG89" s="3" t="s">
        <v>201</v>
      </c>
      <c r="BH89" s="3" t="s">
        <v>201</v>
      </c>
      <c r="BI89" s="3" t="s">
        <v>201</v>
      </c>
      <c r="BJ89" s="3" t="s">
        <v>201</v>
      </c>
      <c r="BK89" s="3" t="s">
        <v>201</v>
      </c>
      <c r="BL89" s="3" t="s">
        <v>201</v>
      </c>
      <c r="BM89" s="3" t="s">
        <v>201</v>
      </c>
      <c r="BN89" s="3" t="s">
        <v>201</v>
      </c>
      <c r="BO89" s="3" t="s">
        <v>201</v>
      </c>
      <c r="BP89" s="3" t="s">
        <v>201</v>
      </c>
      <c r="BQ89" s="3" t="s">
        <v>201</v>
      </c>
      <c r="BR89" s="3" t="s">
        <v>201</v>
      </c>
      <c r="BS89" s="3" t="s">
        <v>201</v>
      </c>
      <c r="BT89" s="3" t="s">
        <v>201</v>
      </c>
      <c r="BU89" s="3" t="s">
        <v>201</v>
      </c>
      <c r="BV89" s="3" t="s">
        <v>201</v>
      </c>
      <c r="BW89" s="3" t="s">
        <v>201</v>
      </c>
      <c r="BX89" s="3" t="s">
        <v>201</v>
      </c>
      <c r="BY89" s="3" t="s">
        <v>201</v>
      </c>
      <c r="BZ89" s="3" t="s">
        <v>201</v>
      </c>
      <c r="CA89" s="3" t="s">
        <v>201</v>
      </c>
      <c r="CB89" s="3" t="s">
        <v>201</v>
      </c>
      <c r="CC89" s="3" t="s">
        <v>201</v>
      </c>
      <c r="CD89" s="3" t="s">
        <v>201</v>
      </c>
      <c r="CE89" s="3" t="s">
        <v>201</v>
      </c>
      <c r="CF89" s="3" t="s">
        <v>201</v>
      </c>
      <c r="CG89" s="3" t="s">
        <v>201</v>
      </c>
      <c r="CH89" s="3" t="s">
        <v>201</v>
      </c>
      <c r="CI89" s="3" t="s">
        <v>201</v>
      </c>
      <c r="CJ89" s="3" t="s">
        <v>201</v>
      </c>
      <c r="CK89" s="3" t="s">
        <v>201</v>
      </c>
      <c r="CL89" s="3" t="s">
        <v>201</v>
      </c>
      <c r="CM89" s="3" t="s">
        <v>201</v>
      </c>
      <c r="CN89" s="3" t="s">
        <v>201</v>
      </c>
      <c r="CO89" s="3" t="s">
        <v>201</v>
      </c>
      <c r="CP89" s="3" t="s">
        <v>201</v>
      </c>
      <c r="CQ89" s="3" t="s">
        <v>201</v>
      </c>
      <c r="CR89" s="3" t="s">
        <v>201</v>
      </c>
      <c r="CS89" s="3" t="s">
        <v>201</v>
      </c>
      <c r="CT89" s="3" t="s">
        <v>201</v>
      </c>
      <c r="CU89" s="3" t="s">
        <v>201</v>
      </c>
      <c r="CV89" s="3" t="s">
        <v>201</v>
      </c>
      <c r="CW89" s="3" t="s">
        <v>201</v>
      </c>
      <c r="CX89" s="3" t="s">
        <v>201</v>
      </c>
      <c r="CY89" s="3" t="s">
        <v>201</v>
      </c>
      <c r="CZ89" s="3" t="s">
        <v>201</v>
      </c>
      <c r="DA89" s="3" t="s">
        <v>201</v>
      </c>
      <c r="DB89" s="3" t="s">
        <v>201</v>
      </c>
      <c r="DC89" s="3" t="s">
        <v>201</v>
      </c>
      <c r="DD89" s="3" t="s">
        <v>201</v>
      </c>
      <c r="DE89" s="3" t="s">
        <v>201</v>
      </c>
      <c r="DF89" s="3" t="s">
        <v>201</v>
      </c>
      <c r="DG89" s="3" t="s">
        <v>201</v>
      </c>
      <c r="DH89" s="3" t="s">
        <v>201</v>
      </c>
      <c r="DI89" s="3" t="s">
        <v>201</v>
      </c>
      <c r="DJ89" s="3" t="s">
        <v>201</v>
      </c>
      <c r="DK89" s="3" t="s">
        <v>201</v>
      </c>
      <c r="DL89" s="3" t="s">
        <v>201</v>
      </c>
      <c r="DM89" s="3" t="s">
        <v>201</v>
      </c>
      <c r="DN89" s="3" t="s">
        <v>201</v>
      </c>
      <c r="DO89" s="3" t="s">
        <v>201</v>
      </c>
      <c r="DP89" s="3" t="s">
        <v>201</v>
      </c>
      <c r="DQ89" s="3" t="s">
        <v>201</v>
      </c>
      <c r="DR89">
        <f t="shared" si="2"/>
        <v>2022</v>
      </c>
    </row>
    <row r="90" spans="1:122" x14ac:dyDescent="0.35">
      <c r="A90" s="1">
        <f t="shared" si="3"/>
        <v>44682</v>
      </c>
      <c r="B90" s="2">
        <v>19</v>
      </c>
      <c r="C90" s="2">
        <v>17</v>
      </c>
      <c r="D90" s="2">
        <v>21</v>
      </c>
      <c r="E90" s="2">
        <v>9</v>
      </c>
      <c r="F90" s="2">
        <v>9</v>
      </c>
      <c r="G90" s="2">
        <v>4</v>
      </c>
      <c r="H90" s="2">
        <v>11</v>
      </c>
      <c r="I90" s="2">
        <v>7</v>
      </c>
      <c r="J90" s="2">
        <v>10</v>
      </c>
      <c r="K90" s="2">
        <v>6</v>
      </c>
      <c r="L90" s="2">
        <v>5</v>
      </c>
      <c r="M90" s="2">
        <v>7</v>
      </c>
      <c r="N90" s="3">
        <v>6</v>
      </c>
      <c r="O90" s="3">
        <v>8</v>
      </c>
      <c r="P90" s="3">
        <v>4</v>
      </c>
      <c r="Q90" s="3">
        <v>3</v>
      </c>
      <c r="R90" s="3">
        <v>4</v>
      </c>
      <c r="S90" s="3">
        <v>3</v>
      </c>
      <c r="T90" s="3">
        <v>2</v>
      </c>
      <c r="U90" s="3">
        <v>4</v>
      </c>
      <c r="V90" s="3">
        <v>1</v>
      </c>
      <c r="W90" s="3">
        <v>0</v>
      </c>
      <c r="X90" s="3">
        <v>3</v>
      </c>
      <c r="Y90" s="3">
        <v>5</v>
      </c>
      <c r="Z90" s="3">
        <v>2</v>
      </c>
      <c r="AA90" s="3">
        <v>3</v>
      </c>
      <c r="AB90" s="3">
        <v>3</v>
      </c>
      <c r="AC90" s="3">
        <v>2</v>
      </c>
      <c r="AD90" s="3">
        <v>1</v>
      </c>
      <c r="AE90" s="3">
        <v>1</v>
      </c>
      <c r="AF90" s="3">
        <v>0</v>
      </c>
      <c r="AG90" s="3">
        <v>0</v>
      </c>
      <c r="AH90" s="3" t="s">
        <v>201</v>
      </c>
      <c r="AI90" s="3" t="s">
        <v>201</v>
      </c>
      <c r="AJ90" s="3" t="s">
        <v>201</v>
      </c>
      <c r="AK90" s="3" t="s">
        <v>201</v>
      </c>
      <c r="AL90" s="3" t="s">
        <v>201</v>
      </c>
      <c r="AM90" s="3" t="s">
        <v>201</v>
      </c>
      <c r="AN90" s="3" t="s">
        <v>201</v>
      </c>
      <c r="AO90" s="3" t="s">
        <v>201</v>
      </c>
      <c r="AP90" s="3" t="s">
        <v>201</v>
      </c>
      <c r="AQ90" s="3" t="s">
        <v>201</v>
      </c>
      <c r="AR90" s="3" t="s">
        <v>201</v>
      </c>
      <c r="AS90" s="3" t="s">
        <v>201</v>
      </c>
      <c r="AT90" s="3" t="s">
        <v>201</v>
      </c>
      <c r="AU90" s="3" t="s">
        <v>201</v>
      </c>
      <c r="AV90" s="3" t="s">
        <v>201</v>
      </c>
      <c r="AW90" s="3" t="s">
        <v>201</v>
      </c>
      <c r="AX90" s="3" t="s">
        <v>201</v>
      </c>
      <c r="AY90" s="3" t="s">
        <v>201</v>
      </c>
      <c r="AZ90" s="3" t="s">
        <v>201</v>
      </c>
      <c r="BA90" s="3" t="s">
        <v>201</v>
      </c>
      <c r="BB90" s="3" t="s">
        <v>201</v>
      </c>
      <c r="BC90" s="3" t="s">
        <v>201</v>
      </c>
      <c r="BD90" s="3" t="s">
        <v>201</v>
      </c>
      <c r="BE90" s="3" t="s">
        <v>201</v>
      </c>
      <c r="BF90" s="3" t="s">
        <v>201</v>
      </c>
      <c r="BG90" s="3" t="s">
        <v>201</v>
      </c>
      <c r="BH90" s="3" t="s">
        <v>201</v>
      </c>
      <c r="BI90" s="3" t="s">
        <v>201</v>
      </c>
      <c r="BJ90" s="3" t="s">
        <v>201</v>
      </c>
      <c r="BK90" s="3" t="s">
        <v>201</v>
      </c>
      <c r="BL90" s="3" t="s">
        <v>201</v>
      </c>
      <c r="BM90" s="3" t="s">
        <v>201</v>
      </c>
      <c r="BN90" s="3" t="s">
        <v>201</v>
      </c>
      <c r="BO90" s="3" t="s">
        <v>201</v>
      </c>
      <c r="BP90" s="3" t="s">
        <v>201</v>
      </c>
      <c r="BQ90" s="3" t="s">
        <v>201</v>
      </c>
      <c r="BR90" s="3" t="s">
        <v>201</v>
      </c>
      <c r="BS90" s="3" t="s">
        <v>201</v>
      </c>
      <c r="BT90" s="3" t="s">
        <v>201</v>
      </c>
      <c r="BU90" s="3" t="s">
        <v>201</v>
      </c>
      <c r="BV90" s="3" t="s">
        <v>201</v>
      </c>
      <c r="BW90" s="3" t="s">
        <v>201</v>
      </c>
      <c r="BX90" s="3" t="s">
        <v>201</v>
      </c>
      <c r="BY90" s="3" t="s">
        <v>201</v>
      </c>
      <c r="BZ90" s="3" t="s">
        <v>201</v>
      </c>
      <c r="CA90" s="3" t="s">
        <v>201</v>
      </c>
      <c r="CB90" s="3" t="s">
        <v>201</v>
      </c>
      <c r="CC90" s="3" t="s">
        <v>201</v>
      </c>
      <c r="CD90" s="3" t="s">
        <v>201</v>
      </c>
      <c r="CE90" s="3" t="s">
        <v>201</v>
      </c>
      <c r="CF90" s="3" t="s">
        <v>201</v>
      </c>
      <c r="CG90" s="3" t="s">
        <v>201</v>
      </c>
      <c r="CH90" s="3" t="s">
        <v>201</v>
      </c>
      <c r="CI90" s="3" t="s">
        <v>201</v>
      </c>
      <c r="CJ90" s="3" t="s">
        <v>201</v>
      </c>
      <c r="CK90" s="3" t="s">
        <v>201</v>
      </c>
      <c r="CL90" s="3" t="s">
        <v>201</v>
      </c>
      <c r="CM90" s="3" t="s">
        <v>201</v>
      </c>
      <c r="CN90" s="3" t="s">
        <v>201</v>
      </c>
      <c r="CO90" s="3" t="s">
        <v>201</v>
      </c>
      <c r="CP90" s="3" t="s">
        <v>201</v>
      </c>
      <c r="CQ90" s="3" t="s">
        <v>201</v>
      </c>
      <c r="CR90" s="3" t="s">
        <v>201</v>
      </c>
      <c r="CS90" s="3" t="s">
        <v>201</v>
      </c>
      <c r="CT90" s="3" t="s">
        <v>201</v>
      </c>
      <c r="CU90" s="3" t="s">
        <v>201</v>
      </c>
      <c r="CV90" s="3" t="s">
        <v>201</v>
      </c>
      <c r="CW90" s="3" t="s">
        <v>201</v>
      </c>
      <c r="CX90" s="3" t="s">
        <v>201</v>
      </c>
      <c r="CY90" s="3" t="s">
        <v>201</v>
      </c>
      <c r="CZ90" s="3" t="s">
        <v>201</v>
      </c>
      <c r="DA90" s="3" t="s">
        <v>201</v>
      </c>
      <c r="DB90" s="3" t="s">
        <v>201</v>
      </c>
      <c r="DC90" s="3" t="s">
        <v>201</v>
      </c>
      <c r="DD90" s="3" t="s">
        <v>201</v>
      </c>
      <c r="DE90" s="3" t="s">
        <v>201</v>
      </c>
      <c r="DF90" s="3" t="s">
        <v>201</v>
      </c>
      <c r="DG90" s="3" t="s">
        <v>201</v>
      </c>
      <c r="DH90" s="3" t="s">
        <v>201</v>
      </c>
      <c r="DI90" s="3" t="s">
        <v>201</v>
      </c>
      <c r="DJ90" s="3" t="s">
        <v>201</v>
      </c>
      <c r="DK90" s="3" t="s">
        <v>201</v>
      </c>
      <c r="DL90" s="3" t="s">
        <v>201</v>
      </c>
      <c r="DM90" s="3" t="s">
        <v>201</v>
      </c>
      <c r="DN90" s="3" t="s">
        <v>201</v>
      </c>
      <c r="DO90" s="3" t="s">
        <v>201</v>
      </c>
      <c r="DP90" s="3" t="s">
        <v>201</v>
      </c>
      <c r="DQ90" s="3" t="s">
        <v>201</v>
      </c>
      <c r="DR90">
        <f t="shared" si="2"/>
        <v>2022</v>
      </c>
    </row>
    <row r="91" spans="1:122" x14ac:dyDescent="0.35">
      <c r="A91" s="1">
        <f t="shared" si="3"/>
        <v>44713</v>
      </c>
      <c r="B91" s="2">
        <v>23</v>
      </c>
      <c r="C91" s="2">
        <v>35</v>
      </c>
      <c r="D91" s="2">
        <v>23</v>
      </c>
      <c r="E91" s="2">
        <v>10</v>
      </c>
      <c r="F91" s="2">
        <v>9</v>
      </c>
      <c r="G91" s="2">
        <v>7</v>
      </c>
      <c r="H91" s="2">
        <v>6</v>
      </c>
      <c r="I91" s="2">
        <v>6</v>
      </c>
      <c r="J91" s="2">
        <v>5</v>
      </c>
      <c r="K91" s="2">
        <v>7</v>
      </c>
      <c r="L91" s="2">
        <v>3</v>
      </c>
      <c r="M91" s="2">
        <v>11</v>
      </c>
      <c r="N91" s="3">
        <v>2</v>
      </c>
      <c r="O91" s="3">
        <v>5</v>
      </c>
      <c r="P91" s="3">
        <v>4</v>
      </c>
      <c r="Q91" s="3">
        <v>2</v>
      </c>
      <c r="R91" s="3">
        <v>6</v>
      </c>
      <c r="S91" s="3">
        <v>4</v>
      </c>
      <c r="T91" s="3">
        <v>2</v>
      </c>
      <c r="U91" s="3">
        <v>4</v>
      </c>
      <c r="V91" s="3">
        <v>3</v>
      </c>
      <c r="W91" s="3">
        <v>1</v>
      </c>
      <c r="X91" s="3">
        <v>1</v>
      </c>
      <c r="Y91" s="3">
        <v>4</v>
      </c>
      <c r="Z91" s="3">
        <v>4</v>
      </c>
      <c r="AA91" s="3">
        <v>1</v>
      </c>
      <c r="AB91" s="3">
        <v>1</v>
      </c>
      <c r="AC91" s="3">
        <v>1</v>
      </c>
      <c r="AD91" s="3">
        <v>2</v>
      </c>
      <c r="AE91" s="3">
        <v>0</v>
      </c>
      <c r="AF91" s="3">
        <v>1</v>
      </c>
      <c r="AG91" s="3" t="s">
        <v>201</v>
      </c>
      <c r="AH91" s="3" t="s">
        <v>201</v>
      </c>
      <c r="AI91" s="3" t="s">
        <v>201</v>
      </c>
      <c r="AJ91" s="3" t="s">
        <v>201</v>
      </c>
      <c r="AK91" s="3" t="s">
        <v>201</v>
      </c>
      <c r="AL91" s="3" t="s">
        <v>201</v>
      </c>
      <c r="AM91" s="3" t="s">
        <v>201</v>
      </c>
      <c r="AN91" s="3" t="s">
        <v>201</v>
      </c>
      <c r="AO91" s="3" t="s">
        <v>201</v>
      </c>
      <c r="AP91" s="3" t="s">
        <v>201</v>
      </c>
      <c r="AQ91" s="3" t="s">
        <v>201</v>
      </c>
      <c r="AR91" s="3" t="s">
        <v>201</v>
      </c>
      <c r="AS91" s="3" t="s">
        <v>201</v>
      </c>
      <c r="AT91" s="3" t="s">
        <v>201</v>
      </c>
      <c r="AU91" s="3" t="s">
        <v>201</v>
      </c>
      <c r="AV91" s="3" t="s">
        <v>201</v>
      </c>
      <c r="AW91" s="3" t="s">
        <v>201</v>
      </c>
      <c r="AX91" s="3" t="s">
        <v>201</v>
      </c>
      <c r="AY91" s="3" t="s">
        <v>201</v>
      </c>
      <c r="AZ91" s="3" t="s">
        <v>201</v>
      </c>
      <c r="BA91" s="3" t="s">
        <v>201</v>
      </c>
      <c r="BB91" s="3" t="s">
        <v>201</v>
      </c>
      <c r="BC91" s="3" t="s">
        <v>201</v>
      </c>
      <c r="BD91" s="3" t="s">
        <v>201</v>
      </c>
      <c r="BE91" s="3" t="s">
        <v>201</v>
      </c>
      <c r="BF91" s="3" t="s">
        <v>201</v>
      </c>
      <c r="BG91" s="3" t="s">
        <v>201</v>
      </c>
      <c r="BH91" s="3" t="s">
        <v>201</v>
      </c>
      <c r="BI91" s="3" t="s">
        <v>201</v>
      </c>
      <c r="BJ91" s="3" t="s">
        <v>201</v>
      </c>
      <c r="BK91" s="3" t="s">
        <v>201</v>
      </c>
      <c r="BL91" s="3" t="s">
        <v>201</v>
      </c>
      <c r="BM91" s="3" t="s">
        <v>201</v>
      </c>
      <c r="BN91" s="3" t="s">
        <v>201</v>
      </c>
      <c r="BO91" s="3" t="s">
        <v>201</v>
      </c>
      <c r="BP91" s="3" t="s">
        <v>201</v>
      </c>
      <c r="BQ91" s="3" t="s">
        <v>201</v>
      </c>
      <c r="BR91" s="3" t="s">
        <v>201</v>
      </c>
      <c r="BS91" s="3" t="s">
        <v>201</v>
      </c>
      <c r="BT91" s="3" t="s">
        <v>201</v>
      </c>
      <c r="BU91" s="3" t="s">
        <v>201</v>
      </c>
      <c r="BV91" s="3" t="s">
        <v>201</v>
      </c>
      <c r="BW91" s="3" t="s">
        <v>201</v>
      </c>
      <c r="BX91" s="3" t="s">
        <v>201</v>
      </c>
      <c r="BY91" s="3" t="s">
        <v>201</v>
      </c>
      <c r="BZ91" s="3" t="s">
        <v>201</v>
      </c>
      <c r="CA91" s="3" t="s">
        <v>201</v>
      </c>
      <c r="CB91" s="3" t="s">
        <v>201</v>
      </c>
      <c r="CC91" s="3" t="s">
        <v>201</v>
      </c>
      <c r="CD91" s="3" t="s">
        <v>201</v>
      </c>
      <c r="CE91" s="3" t="s">
        <v>201</v>
      </c>
      <c r="CF91" s="3" t="s">
        <v>201</v>
      </c>
      <c r="CG91" s="3" t="s">
        <v>201</v>
      </c>
      <c r="CH91" s="3" t="s">
        <v>201</v>
      </c>
      <c r="CI91" s="3" t="s">
        <v>201</v>
      </c>
      <c r="CJ91" s="3" t="s">
        <v>201</v>
      </c>
      <c r="CK91" s="3" t="s">
        <v>201</v>
      </c>
      <c r="CL91" s="3" t="s">
        <v>201</v>
      </c>
      <c r="CM91" s="3" t="s">
        <v>201</v>
      </c>
      <c r="CN91" s="3" t="s">
        <v>201</v>
      </c>
      <c r="CO91" s="3" t="s">
        <v>201</v>
      </c>
      <c r="CP91" s="3" t="s">
        <v>201</v>
      </c>
      <c r="CQ91" s="3" t="s">
        <v>201</v>
      </c>
      <c r="CR91" s="3" t="s">
        <v>201</v>
      </c>
      <c r="CS91" s="3" t="s">
        <v>201</v>
      </c>
      <c r="CT91" s="3" t="s">
        <v>201</v>
      </c>
      <c r="CU91" s="3" t="s">
        <v>201</v>
      </c>
      <c r="CV91" s="3" t="s">
        <v>201</v>
      </c>
      <c r="CW91" s="3" t="s">
        <v>201</v>
      </c>
      <c r="CX91" s="3" t="s">
        <v>201</v>
      </c>
      <c r="CY91" s="3" t="s">
        <v>201</v>
      </c>
      <c r="CZ91" s="3" t="s">
        <v>201</v>
      </c>
      <c r="DA91" s="3" t="s">
        <v>201</v>
      </c>
      <c r="DB91" s="3" t="s">
        <v>201</v>
      </c>
      <c r="DC91" s="3" t="s">
        <v>201</v>
      </c>
      <c r="DD91" s="3" t="s">
        <v>201</v>
      </c>
      <c r="DE91" s="3" t="s">
        <v>201</v>
      </c>
      <c r="DF91" s="3" t="s">
        <v>201</v>
      </c>
      <c r="DG91" s="3" t="s">
        <v>201</v>
      </c>
      <c r="DH91" s="3" t="s">
        <v>201</v>
      </c>
      <c r="DI91" s="3" t="s">
        <v>201</v>
      </c>
      <c r="DJ91" s="3" t="s">
        <v>201</v>
      </c>
      <c r="DK91" s="3" t="s">
        <v>201</v>
      </c>
      <c r="DL91" s="3" t="s">
        <v>201</v>
      </c>
      <c r="DM91" s="3" t="s">
        <v>201</v>
      </c>
      <c r="DN91" s="3" t="s">
        <v>201</v>
      </c>
      <c r="DO91" s="3" t="s">
        <v>201</v>
      </c>
      <c r="DP91" s="3" t="s">
        <v>201</v>
      </c>
      <c r="DQ91" s="3" t="s">
        <v>201</v>
      </c>
      <c r="DR91">
        <f t="shared" si="2"/>
        <v>2022</v>
      </c>
    </row>
    <row r="92" spans="1:122" x14ac:dyDescent="0.35">
      <c r="A92" s="1">
        <f t="shared" si="3"/>
        <v>44743</v>
      </c>
      <c r="B92" s="2">
        <v>37</v>
      </c>
      <c r="C92" s="2">
        <v>25</v>
      </c>
      <c r="D92" s="2">
        <v>19</v>
      </c>
      <c r="E92" s="2">
        <v>17</v>
      </c>
      <c r="F92" s="2">
        <v>12</v>
      </c>
      <c r="G92" s="2">
        <v>9</v>
      </c>
      <c r="H92" s="2">
        <v>11</v>
      </c>
      <c r="I92" s="2">
        <v>12</v>
      </c>
      <c r="J92" s="2">
        <v>11</v>
      </c>
      <c r="K92" s="2">
        <v>12</v>
      </c>
      <c r="L92" s="2">
        <v>11</v>
      </c>
      <c r="M92" s="2">
        <v>9</v>
      </c>
      <c r="N92" s="3">
        <v>8</v>
      </c>
      <c r="O92" s="3">
        <v>4</v>
      </c>
      <c r="P92" s="3">
        <v>3</v>
      </c>
      <c r="Q92" s="3">
        <v>2</v>
      </c>
      <c r="R92" s="3">
        <v>2</v>
      </c>
      <c r="S92" s="3">
        <v>3</v>
      </c>
      <c r="T92" s="3">
        <v>2</v>
      </c>
      <c r="U92" s="3">
        <v>6</v>
      </c>
      <c r="V92" s="3">
        <v>3</v>
      </c>
      <c r="W92" s="3">
        <v>4</v>
      </c>
      <c r="X92" s="3">
        <v>5</v>
      </c>
      <c r="Y92" s="3">
        <v>1</v>
      </c>
      <c r="Z92" s="3">
        <v>2</v>
      </c>
      <c r="AA92" s="3">
        <v>0</v>
      </c>
      <c r="AB92" s="3">
        <v>2</v>
      </c>
      <c r="AC92" s="3">
        <v>1</v>
      </c>
      <c r="AD92" s="3">
        <v>1</v>
      </c>
      <c r="AE92" s="3">
        <v>1</v>
      </c>
      <c r="AF92" s="3" t="s">
        <v>201</v>
      </c>
      <c r="AG92" s="3" t="s">
        <v>201</v>
      </c>
      <c r="AH92" s="3" t="s">
        <v>201</v>
      </c>
      <c r="AI92" s="3" t="s">
        <v>201</v>
      </c>
      <c r="AJ92" s="3" t="s">
        <v>201</v>
      </c>
      <c r="AK92" s="3" t="s">
        <v>201</v>
      </c>
      <c r="AL92" s="3" t="s">
        <v>201</v>
      </c>
      <c r="AM92" s="3" t="s">
        <v>201</v>
      </c>
      <c r="AN92" s="3" t="s">
        <v>201</v>
      </c>
      <c r="AO92" s="3" t="s">
        <v>201</v>
      </c>
      <c r="AP92" s="3" t="s">
        <v>201</v>
      </c>
      <c r="AQ92" s="3" t="s">
        <v>201</v>
      </c>
      <c r="AR92" s="3" t="s">
        <v>201</v>
      </c>
      <c r="AS92" s="3" t="s">
        <v>201</v>
      </c>
      <c r="AT92" s="3" t="s">
        <v>201</v>
      </c>
      <c r="AU92" s="3" t="s">
        <v>201</v>
      </c>
      <c r="AV92" s="3" t="s">
        <v>201</v>
      </c>
      <c r="AW92" s="3" t="s">
        <v>201</v>
      </c>
      <c r="AX92" s="3" t="s">
        <v>201</v>
      </c>
      <c r="AY92" s="3" t="s">
        <v>201</v>
      </c>
      <c r="AZ92" s="3" t="s">
        <v>201</v>
      </c>
      <c r="BA92" s="3" t="s">
        <v>201</v>
      </c>
      <c r="BB92" s="3" t="s">
        <v>201</v>
      </c>
      <c r="BC92" s="3" t="s">
        <v>201</v>
      </c>
      <c r="BD92" s="3" t="s">
        <v>201</v>
      </c>
      <c r="BE92" s="3" t="s">
        <v>201</v>
      </c>
      <c r="BF92" s="3" t="s">
        <v>201</v>
      </c>
      <c r="BG92" s="3" t="s">
        <v>201</v>
      </c>
      <c r="BH92" s="3" t="s">
        <v>201</v>
      </c>
      <c r="BI92" s="3" t="s">
        <v>201</v>
      </c>
      <c r="BJ92" s="3" t="s">
        <v>201</v>
      </c>
      <c r="BK92" s="3" t="s">
        <v>201</v>
      </c>
      <c r="BL92" s="3" t="s">
        <v>201</v>
      </c>
      <c r="BM92" s="3" t="s">
        <v>201</v>
      </c>
      <c r="BN92" s="3" t="s">
        <v>201</v>
      </c>
      <c r="BO92" s="3" t="s">
        <v>201</v>
      </c>
      <c r="BP92" s="3" t="s">
        <v>201</v>
      </c>
      <c r="BQ92" s="3" t="s">
        <v>201</v>
      </c>
      <c r="BR92" s="3" t="s">
        <v>201</v>
      </c>
      <c r="BS92" s="3" t="s">
        <v>201</v>
      </c>
      <c r="BT92" s="3" t="s">
        <v>201</v>
      </c>
      <c r="BU92" s="3" t="s">
        <v>201</v>
      </c>
      <c r="BV92" s="3" t="s">
        <v>201</v>
      </c>
      <c r="BW92" s="3" t="s">
        <v>201</v>
      </c>
      <c r="BX92" s="3" t="s">
        <v>201</v>
      </c>
      <c r="BY92" s="3" t="s">
        <v>201</v>
      </c>
      <c r="BZ92" s="3" t="s">
        <v>201</v>
      </c>
      <c r="CA92" s="3" t="s">
        <v>201</v>
      </c>
      <c r="CB92" s="3" t="s">
        <v>201</v>
      </c>
      <c r="CC92" s="3" t="s">
        <v>201</v>
      </c>
      <c r="CD92" s="3" t="s">
        <v>201</v>
      </c>
      <c r="CE92" s="3" t="s">
        <v>201</v>
      </c>
      <c r="CF92" s="3" t="s">
        <v>201</v>
      </c>
      <c r="CG92" s="3" t="s">
        <v>201</v>
      </c>
      <c r="CH92" s="3" t="s">
        <v>201</v>
      </c>
      <c r="CI92" s="3" t="s">
        <v>201</v>
      </c>
      <c r="CJ92" s="3" t="s">
        <v>201</v>
      </c>
      <c r="CK92" s="3" t="s">
        <v>201</v>
      </c>
      <c r="CL92" s="3" t="s">
        <v>201</v>
      </c>
      <c r="CM92" s="3" t="s">
        <v>201</v>
      </c>
      <c r="CN92" s="3" t="s">
        <v>201</v>
      </c>
      <c r="CO92" s="3" t="s">
        <v>201</v>
      </c>
      <c r="CP92" s="3" t="s">
        <v>201</v>
      </c>
      <c r="CQ92" s="3" t="s">
        <v>201</v>
      </c>
      <c r="CR92" s="3" t="s">
        <v>201</v>
      </c>
      <c r="CS92" s="3" t="s">
        <v>201</v>
      </c>
      <c r="CT92" s="3" t="s">
        <v>201</v>
      </c>
      <c r="CU92" s="3" t="s">
        <v>201</v>
      </c>
      <c r="CV92" s="3" t="s">
        <v>201</v>
      </c>
      <c r="CW92" s="3" t="s">
        <v>201</v>
      </c>
      <c r="CX92" s="3" t="s">
        <v>201</v>
      </c>
      <c r="CY92" s="3" t="s">
        <v>201</v>
      </c>
      <c r="CZ92" s="3" t="s">
        <v>201</v>
      </c>
      <c r="DA92" s="3" t="s">
        <v>201</v>
      </c>
      <c r="DB92" s="3" t="s">
        <v>201</v>
      </c>
      <c r="DC92" s="3" t="s">
        <v>201</v>
      </c>
      <c r="DD92" s="3" t="s">
        <v>201</v>
      </c>
      <c r="DE92" s="3" t="s">
        <v>201</v>
      </c>
      <c r="DF92" s="3" t="s">
        <v>201</v>
      </c>
      <c r="DG92" s="3" t="s">
        <v>201</v>
      </c>
      <c r="DH92" s="3" t="s">
        <v>201</v>
      </c>
      <c r="DI92" s="3" t="s">
        <v>201</v>
      </c>
      <c r="DJ92" s="3" t="s">
        <v>201</v>
      </c>
      <c r="DK92" s="3" t="s">
        <v>201</v>
      </c>
      <c r="DL92" s="3" t="s">
        <v>201</v>
      </c>
      <c r="DM92" s="3" t="s">
        <v>201</v>
      </c>
      <c r="DN92" s="3" t="s">
        <v>201</v>
      </c>
      <c r="DO92" s="3" t="s">
        <v>201</v>
      </c>
      <c r="DP92" s="3" t="s">
        <v>201</v>
      </c>
      <c r="DQ92" s="3" t="s">
        <v>201</v>
      </c>
      <c r="DR92">
        <f t="shared" si="2"/>
        <v>2022</v>
      </c>
    </row>
    <row r="93" spans="1:122" x14ac:dyDescent="0.35">
      <c r="A93" s="1">
        <f t="shared" si="3"/>
        <v>44774</v>
      </c>
      <c r="B93" s="2">
        <v>15</v>
      </c>
      <c r="C93" s="2">
        <v>17</v>
      </c>
      <c r="D93" s="2">
        <v>18</v>
      </c>
      <c r="E93" s="2">
        <v>18</v>
      </c>
      <c r="F93" s="2">
        <v>9</v>
      </c>
      <c r="G93" s="2">
        <v>7</v>
      </c>
      <c r="H93" s="2">
        <v>12</v>
      </c>
      <c r="I93" s="2">
        <v>2</v>
      </c>
      <c r="J93" s="2">
        <v>9</v>
      </c>
      <c r="K93" s="2">
        <v>8</v>
      </c>
      <c r="L93" s="2">
        <v>7</v>
      </c>
      <c r="M93" s="2">
        <v>4</v>
      </c>
      <c r="N93" s="3">
        <v>2</v>
      </c>
      <c r="O93" s="3">
        <v>4</v>
      </c>
      <c r="P93" s="3">
        <v>1</v>
      </c>
      <c r="Q93" s="3">
        <v>1</v>
      </c>
      <c r="R93" s="3">
        <v>2</v>
      </c>
      <c r="S93" s="3">
        <v>5</v>
      </c>
      <c r="T93" s="3">
        <v>2</v>
      </c>
      <c r="U93" s="3">
        <v>3</v>
      </c>
      <c r="V93" s="3">
        <v>2</v>
      </c>
      <c r="W93" s="3">
        <v>2</v>
      </c>
      <c r="X93" s="3">
        <v>1</v>
      </c>
      <c r="Y93" s="3">
        <v>3</v>
      </c>
      <c r="Z93" s="3">
        <v>2</v>
      </c>
      <c r="AA93" s="3">
        <v>0</v>
      </c>
      <c r="AB93" s="3">
        <v>1</v>
      </c>
      <c r="AC93" s="3">
        <v>1</v>
      </c>
      <c r="AD93" s="3">
        <v>0</v>
      </c>
      <c r="AE93" s="3" t="s">
        <v>201</v>
      </c>
      <c r="AF93" s="3" t="s">
        <v>201</v>
      </c>
      <c r="AG93" s="3" t="s">
        <v>201</v>
      </c>
      <c r="AH93" s="3" t="s">
        <v>201</v>
      </c>
      <c r="AI93" s="3" t="s">
        <v>201</v>
      </c>
      <c r="AJ93" s="3" t="s">
        <v>201</v>
      </c>
      <c r="AK93" s="3" t="s">
        <v>201</v>
      </c>
      <c r="AL93" s="3" t="s">
        <v>201</v>
      </c>
      <c r="AM93" s="3" t="s">
        <v>201</v>
      </c>
      <c r="AN93" s="3" t="s">
        <v>201</v>
      </c>
      <c r="AO93" s="3" t="s">
        <v>201</v>
      </c>
      <c r="AP93" s="3" t="s">
        <v>201</v>
      </c>
      <c r="AQ93" s="3" t="s">
        <v>201</v>
      </c>
      <c r="AR93" s="3" t="s">
        <v>201</v>
      </c>
      <c r="AS93" s="3" t="s">
        <v>201</v>
      </c>
      <c r="AT93" s="3" t="s">
        <v>201</v>
      </c>
      <c r="AU93" s="3" t="s">
        <v>201</v>
      </c>
      <c r="AV93" s="3" t="s">
        <v>201</v>
      </c>
      <c r="AW93" s="3" t="s">
        <v>201</v>
      </c>
      <c r="AX93" s="3" t="s">
        <v>201</v>
      </c>
      <c r="AY93" s="3" t="s">
        <v>201</v>
      </c>
      <c r="AZ93" s="3" t="s">
        <v>201</v>
      </c>
      <c r="BA93" s="3" t="s">
        <v>201</v>
      </c>
      <c r="BB93" s="3" t="s">
        <v>201</v>
      </c>
      <c r="BC93" s="3" t="s">
        <v>201</v>
      </c>
      <c r="BD93" s="3" t="s">
        <v>201</v>
      </c>
      <c r="BE93" s="3" t="s">
        <v>201</v>
      </c>
      <c r="BF93" s="3" t="s">
        <v>201</v>
      </c>
      <c r="BG93" s="3" t="s">
        <v>201</v>
      </c>
      <c r="BH93" s="3" t="s">
        <v>201</v>
      </c>
      <c r="BI93" s="3" t="s">
        <v>201</v>
      </c>
      <c r="BJ93" s="3" t="s">
        <v>201</v>
      </c>
      <c r="BK93" s="3" t="s">
        <v>201</v>
      </c>
      <c r="BL93" s="3" t="s">
        <v>201</v>
      </c>
      <c r="BM93" s="3" t="s">
        <v>201</v>
      </c>
      <c r="BN93" s="3" t="s">
        <v>201</v>
      </c>
      <c r="BO93" s="3" t="s">
        <v>201</v>
      </c>
      <c r="BP93" s="3" t="s">
        <v>201</v>
      </c>
      <c r="BQ93" s="3" t="s">
        <v>201</v>
      </c>
      <c r="BR93" s="3" t="s">
        <v>201</v>
      </c>
      <c r="BS93" s="3" t="s">
        <v>201</v>
      </c>
      <c r="BT93" s="3" t="s">
        <v>201</v>
      </c>
      <c r="BU93" s="3" t="s">
        <v>201</v>
      </c>
      <c r="BV93" s="3" t="s">
        <v>201</v>
      </c>
      <c r="BW93" s="3" t="s">
        <v>201</v>
      </c>
      <c r="BX93" s="3" t="s">
        <v>201</v>
      </c>
      <c r="BY93" s="3" t="s">
        <v>201</v>
      </c>
      <c r="BZ93" s="3" t="s">
        <v>201</v>
      </c>
      <c r="CA93" s="3" t="s">
        <v>201</v>
      </c>
      <c r="CB93" s="3" t="s">
        <v>201</v>
      </c>
      <c r="CC93" s="3" t="s">
        <v>201</v>
      </c>
      <c r="CD93" s="3" t="s">
        <v>201</v>
      </c>
      <c r="CE93" s="3" t="s">
        <v>201</v>
      </c>
      <c r="CF93" s="3" t="s">
        <v>201</v>
      </c>
      <c r="CG93" s="3" t="s">
        <v>201</v>
      </c>
      <c r="CH93" s="3" t="s">
        <v>201</v>
      </c>
      <c r="CI93" s="3" t="s">
        <v>201</v>
      </c>
      <c r="CJ93" s="3" t="s">
        <v>201</v>
      </c>
      <c r="CK93" s="3" t="s">
        <v>201</v>
      </c>
      <c r="CL93" s="3" t="s">
        <v>201</v>
      </c>
      <c r="CM93" s="3" t="s">
        <v>201</v>
      </c>
      <c r="CN93" s="3" t="s">
        <v>201</v>
      </c>
      <c r="CO93" s="3" t="s">
        <v>201</v>
      </c>
      <c r="CP93" s="3" t="s">
        <v>201</v>
      </c>
      <c r="CQ93" s="3" t="s">
        <v>201</v>
      </c>
      <c r="CR93" s="3" t="s">
        <v>201</v>
      </c>
      <c r="CS93" s="3" t="s">
        <v>201</v>
      </c>
      <c r="CT93" s="3" t="s">
        <v>201</v>
      </c>
      <c r="CU93" s="3" t="s">
        <v>201</v>
      </c>
      <c r="CV93" s="3" t="s">
        <v>201</v>
      </c>
      <c r="CW93" s="3" t="s">
        <v>201</v>
      </c>
      <c r="CX93" s="3" t="s">
        <v>201</v>
      </c>
      <c r="CY93" s="3" t="s">
        <v>201</v>
      </c>
      <c r="CZ93" s="3" t="s">
        <v>201</v>
      </c>
      <c r="DA93" s="3" t="s">
        <v>201</v>
      </c>
      <c r="DB93" s="3" t="s">
        <v>201</v>
      </c>
      <c r="DC93" s="3" t="s">
        <v>201</v>
      </c>
      <c r="DD93" s="3" t="s">
        <v>201</v>
      </c>
      <c r="DE93" s="3" t="s">
        <v>201</v>
      </c>
      <c r="DF93" s="3" t="s">
        <v>201</v>
      </c>
      <c r="DG93" s="3" t="s">
        <v>201</v>
      </c>
      <c r="DH93" s="3" t="s">
        <v>201</v>
      </c>
      <c r="DI93" s="3" t="s">
        <v>201</v>
      </c>
      <c r="DJ93" s="3" t="s">
        <v>201</v>
      </c>
      <c r="DK93" s="3" t="s">
        <v>201</v>
      </c>
      <c r="DL93" s="3" t="s">
        <v>201</v>
      </c>
      <c r="DM93" s="3" t="s">
        <v>201</v>
      </c>
      <c r="DN93" s="3" t="s">
        <v>201</v>
      </c>
      <c r="DO93" s="3" t="s">
        <v>201</v>
      </c>
      <c r="DP93" s="3" t="s">
        <v>201</v>
      </c>
      <c r="DQ93" s="3" t="s">
        <v>201</v>
      </c>
      <c r="DR93">
        <f t="shared" si="2"/>
        <v>2022</v>
      </c>
    </row>
    <row r="94" spans="1:122" x14ac:dyDescent="0.35">
      <c r="A94" s="1">
        <f t="shared" si="3"/>
        <v>44805</v>
      </c>
      <c r="B94" s="2">
        <v>16</v>
      </c>
      <c r="C94" s="2">
        <v>15</v>
      </c>
      <c r="D94" s="2">
        <v>18</v>
      </c>
      <c r="E94" s="2">
        <v>8</v>
      </c>
      <c r="F94" s="2">
        <v>6</v>
      </c>
      <c r="G94" s="2">
        <v>5</v>
      </c>
      <c r="H94" s="2">
        <v>8</v>
      </c>
      <c r="I94" s="2">
        <v>2</v>
      </c>
      <c r="J94" s="2">
        <v>3</v>
      </c>
      <c r="K94" s="2">
        <v>4</v>
      </c>
      <c r="L94" s="2">
        <v>1</v>
      </c>
      <c r="M94" s="2">
        <v>4</v>
      </c>
      <c r="N94" s="3">
        <v>2</v>
      </c>
      <c r="O94" s="3">
        <v>2</v>
      </c>
      <c r="P94" s="3">
        <v>1</v>
      </c>
      <c r="Q94" s="3">
        <v>3</v>
      </c>
      <c r="R94" s="3">
        <v>2</v>
      </c>
      <c r="S94" s="3">
        <v>1</v>
      </c>
      <c r="T94" s="3">
        <v>3</v>
      </c>
      <c r="U94" s="3">
        <v>3</v>
      </c>
      <c r="V94" s="3">
        <v>0</v>
      </c>
      <c r="W94" s="3">
        <v>1</v>
      </c>
      <c r="X94" s="3">
        <v>0</v>
      </c>
      <c r="Y94" s="3">
        <v>0</v>
      </c>
      <c r="Z94" s="3">
        <v>0</v>
      </c>
      <c r="AA94" s="3">
        <v>1</v>
      </c>
      <c r="AB94" s="3">
        <v>2</v>
      </c>
      <c r="AC94" s="3">
        <v>0</v>
      </c>
      <c r="AD94" s="3" t="s">
        <v>201</v>
      </c>
      <c r="AE94" s="3" t="s">
        <v>201</v>
      </c>
      <c r="AF94" s="3" t="s">
        <v>201</v>
      </c>
      <c r="AG94" s="3" t="s">
        <v>201</v>
      </c>
      <c r="AH94" s="3" t="s">
        <v>201</v>
      </c>
      <c r="AI94" s="3" t="s">
        <v>201</v>
      </c>
      <c r="AJ94" s="3" t="s">
        <v>201</v>
      </c>
      <c r="AK94" s="3" t="s">
        <v>201</v>
      </c>
      <c r="AL94" s="3" t="s">
        <v>201</v>
      </c>
      <c r="AM94" s="3" t="s">
        <v>201</v>
      </c>
      <c r="AN94" s="3" t="s">
        <v>201</v>
      </c>
      <c r="AO94" s="3" t="s">
        <v>201</v>
      </c>
      <c r="AP94" s="3" t="s">
        <v>201</v>
      </c>
      <c r="AQ94" s="3" t="s">
        <v>201</v>
      </c>
      <c r="AR94" s="3" t="s">
        <v>201</v>
      </c>
      <c r="AS94" s="3" t="s">
        <v>201</v>
      </c>
      <c r="AT94" s="3" t="s">
        <v>201</v>
      </c>
      <c r="AU94" s="3" t="s">
        <v>201</v>
      </c>
      <c r="AV94" s="3" t="s">
        <v>201</v>
      </c>
      <c r="AW94" s="3" t="s">
        <v>201</v>
      </c>
      <c r="AX94" s="3" t="s">
        <v>201</v>
      </c>
      <c r="AY94" s="3" t="s">
        <v>201</v>
      </c>
      <c r="AZ94" s="3" t="s">
        <v>201</v>
      </c>
      <c r="BA94" s="3" t="s">
        <v>201</v>
      </c>
      <c r="BB94" s="3" t="s">
        <v>201</v>
      </c>
      <c r="BC94" s="3" t="s">
        <v>201</v>
      </c>
      <c r="BD94" s="3" t="s">
        <v>201</v>
      </c>
      <c r="BE94" s="3" t="s">
        <v>201</v>
      </c>
      <c r="BF94" s="3" t="s">
        <v>201</v>
      </c>
      <c r="BG94" s="3" t="s">
        <v>201</v>
      </c>
      <c r="BH94" s="3" t="s">
        <v>201</v>
      </c>
      <c r="BI94" s="3" t="s">
        <v>201</v>
      </c>
      <c r="BJ94" s="3" t="s">
        <v>201</v>
      </c>
      <c r="BK94" s="3" t="s">
        <v>201</v>
      </c>
      <c r="BL94" s="3" t="s">
        <v>201</v>
      </c>
      <c r="BM94" s="3" t="s">
        <v>201</v>
      </c>
      <c r="BN94" s="3" t="s">
        <v>201</v>
      </c>
      <c r="BO94" s="3" t="s">
        <v>201</v>
      </c>
      <c r="BP94" s="3" t="s">
        <v>201</v>
      </c>
      <c r="BQ94" s="3" t="s">
        <v>201</v>
      </c>
      <c r="BR94" s="3" t="s">
        <v>201</v>
      </c>
      <c r="BS94" s="3" t="s">
        <v>201</v>
      </c>
      <c r="BT94" s="3" t="s">
        <v>201</v>
      </c>
      <c r="BU94" s="3" t="s">
        <v>201</v>
      </c>
      <c r="BV94" s="3" t="s">
        <v>201</v>
      </c>
      <c r="BW94" s="3" t="s">
        <v>201</v>
      </c>
      <c r="BX94" s="3" t="s">
        <v>201</v>
      </c>
      <c r="BY94" s="3" t="s">
        <v>201</v>
      </c>
      <c r="BZ94" s="3" t="s">
        <v>201</v>
      </c>
      <c r="CA94" s="3" t="s">
        <v>201</v>
      </c>
      <c r="CB94" s="3" t="s">
        <v>201</v>
      </c>
      <c r="CC94" s="3" t="s">
        <v>201</v>
      </c>
      <c r="CD94" s="3" t="s">
        <v>201</v>
      </c>
      <c r="CE94" s="3" t="s">
        <v>201</v>
      </c>
      <c r="CF94" s="3" t="s">
        <v>201</v>
      </c>
      <c r="CG94" s="3" t="s">
        <v>201</v>
      </c>
      <c r="CH94" s="3" t="s">
        <v>201</v>
      </c>
      <c r="CI94" s="3" t="s">
        <v>201</v>
      </c>
      <c r="CJ94" s="3" t="s">
        <v>201</v>
      </c>
      <c r="CK94" s="3" t="s">
        <v>201</v>
      </c>
      <c r="CL94" s="3" t="s">
        <v>201</v>
      </c>
      <c r="CM94" s="3" t="s">
        <v>201</v>
      </c>
      <c r="CN94" s="3" t="s">
        <v>201</v>
      </c>
      <c r="CO94" s="3" t="s">
        <v>201</v>
      </c>
      <c r="CP94" s="3" t="s">
        <v>201</v>
      </c>
      <c r="CQ94" s="3" t="s">
        <v>201</v>
      </c>
      <c r="CR94" s="3" t="s">
        <v>201</v>
      </c>
      <c r="CS94" s="3" t="s">
        <v>201</v>
      </c>
      <c r="CT94" s="3" t="s">
        <v>201</v>
      </c>
      <c r="CU94" s="3" t="s">
        <v>201</v>
      </c>
      <c r="CV94" s="3" t="s">
        <v>201</v>
      </c>
      <c r="CW94" s="3" t="s">
        <v>201</v>
      </c>
      <c r="CX94" s="3" t="s">
        <v>201</v>
      </c>
      <c r="CY94" s="3" t="s">
        <v>201</v>
      </c>
      <c r="CZ94" s="3" t="s">
        <v>201</v>
      </c>
      <c r="DA94" s="3" t="s">
        <v>201</v>
      </c>
      <c r="DB94" s="3" t="s">
        <v>201</v>
      </c>
      <c r="DC94" s="3" t="s">
        <v>201</v>
      </c>
      <c r="DD94" s="3" t="s">
        <v>201</v>
      </c>
      <c r="DE94" s="3" t="s">
        <v>201</v>
      </c>
      <c r="DF94" s="3" t="s">
        <v>201</v>
      </c>
      <c r="DG94" s="3" t="s">
        <v>201</v>
      </c>
      <c r="DH94" s="3" t="s">
        <v>201</v>
      </c>
      <c r="DI94" s="3" t="s">
        <v>201</v>
      </c>
      <c r="DJ94" s="3" t="s">
        <v>201</v>
      </c>
      <c r="DK94" s="3" t="s">
        <v>201</v>
      </c>
      <c r="DL94" s="3" t="s">
        <v>201</v>
      </c>
      <c r="DM94" s="3" t="s">
        <v>201</v>
      </c>
      <c r="DN94" s="3" t="s">
        <v>201</v>
      </c>
      <c r="DO94" s="3" t="s">
        <v>201</v>
      </c>
      <c r="DP94" s="3" t="s">
        <v>201</v>
      </c>
      <c r="DQ94" s="3" t="s">
        <v>201</v>
      </c>
      <c r="DR94">
        <f t="shared" si="2"/>
        <v>2022</v>
      </c>
    </row>
    <row r="95" spans="1:122" x14ac:dyDescent="0.35">
      <c r="A95" s="1">
        <f t="shared" si="3"/>
        <v>44835</v>
      </c>
      <c r="B95" s="2">
        <v>17</v>
      </c>
      <c r="C95" s="2">
        <v>20</v>
      </c>
      <c r="D95" s="2">
        <v>19</v>
      </c>
      <c r="E95" s="2">
        <v>8</v>
      </c>
      <c r="F95" s="2">
        <v>12</v>
      </c>
      <c r="G95" s="2">
        <v>7</v>
      </c>
      <c r="H95" s="2">
        <v>6</v>
      </c>
      <c r="I95" s="2">
        <v>7</v>
      </c>
      <c r="J95" s="2">
        <v>4</v>
      </c>
      <c r="K95" s="2">
        <v>9</v>
      </c>
      <c r="L95" s="2">
        <v>9</v>
      </c>
      <c r="M95" s="2">
        <v>6</v>
      </c>
      <c r="N95" s="3">
        <v>4</v>
      </c>
      <c r="O95" s="3">
        <v>4</v>
      </c>
      <c r="P95" s="3">
        <v>4</v>
      </c>
      <c r="Q95" s="3">
        <v>3</v>
      </c>
      <c r="R95" s="3">
        <v>3</v>
      </c>
      <c r="S95" s="3">
        <v>1</v>
      </c>
      <c r="T95" s="3">
        <v>4</v>
      </c>
      <c r="U95" s="3">
        <v>1</v>
      </c>
      <c r="V95" s="3">
        <v>3</v>
      </c>
      <c r="W95" s="3">
        <v>1</v>
      </c>
      <c r="X95" s="3">
        <v>0</v>
      </c>
      <c r="Y95" s="3">
        <v>0</v>
      </c>
      <c r="Z95" s="3">
        <v>1</v>
      </c>
      <c r="AA95" s="3">
        <v>0</v>
      </c>
      <c r="AB95" s="3">
        <v>0</v>
      </c>
      <c r="AC95" s="3" t="s">
        <v>201</v>
      </c>
      <c r="AD95" s="3" t="s">
        <v>201</v>
      </c>
      <c r="AE95" s="3" t="s">
        <v>201</v>
      </c>
      <c r="AF95" s="3" t="s">
        <v>201</v>
      </c>
      <c r="AG95" s="3" t="s">
        <v>201</v>
      </c>
      <c r="AH95" s="3" t="s">
        <v>201</v>
      </c>
      <c r="AI95" s="3" t="s">
        <v>201</v>
      </c>
      <c r="AJ95" s="3" t="s">
        <v>201</v>
      </c>
      <c r="AK95" s="3" t="s">
        <v>201</v>
      </c>
      <c r="AL95" s="3" t="s">
        <v>201</v>
      </c>
      <c r="AM95" s="3" t="s">
        <v>201</v>
      </c>
      <c r="AN95" s="3" t="s">
        <v>201</v>
      </c>
      <c r="AO95" s="3" t="s">
        <v>201</v>
      </c>
      <c r="AP95" s="3" t="s">
        <v>201</v>
      </c>
      <c r="AQ95" s="3" t="s">
        <v>201</v>
      </c>
      <c r="AR95" s="3" t="s">
        <v>201</v>
      </c>
      <c r="AS95" s="3" t="s">
        <v>201</v>
      </c>
      <c r="AT95" s="3" t="s">
        <v>201</v>
      </c>
      <c r="AU95" s="3" t="s">
        <v>201</v>
      </c>
      <c r="AV95" s="3" t="s">
        <v>201</v>
      </c>
      <c r="AW95" s="3" t="s">
        <v>201</v>
      </c>
      <c r="AX95" s="3" t="s">
        <v>201</v>
      </c>
      <c r="AY95" s="3" t="s">
        <v>201</v>
      </c>
      <c r="AZ95" s="3" t="s">
        <v>201</v>
      </c>
      <c r="BA95" s="3" t="s">
        <v>201</v>
      </c>
      <c r="BB95" s="3" t="s">
        <v>201</v>
      </c>
      <c r="BC95" s="3" t="s">
        <v>201</v>
      </c>
      <c r="BD95" s="3" t="s">
        <v>201</v>
      </c>
      <c r="BE95" s="3" t="s">
        <v>201</v>
      </c>
      <c r="BF95" s="3" t="s">
        <v>201</v>
      </c>
      <c r="BG95" s="3" t="s">
        <v>201</v>
      </c>
      <c r="BH95" s="3" t="s">
        <v>201</v>
      </c>
      <c r="BI95" s="3" t="s">
        <v>201</v>
      </c>
      <c r="BJ95" s="3" t="s">
        <v>201</v>
      </c>
      <c r="BK95" s="3" t="s">
        <v>201</v>
      </c>
      <c r="BL95" s="3" t="s">
        <v>201</v>
      </c>
      <c r="BM95" s="3" t="s">
        <v>201</v>
      </c>
      <c r="BN95" s="3" t="s">
        <v>201</v>
      </c>
      <c r="BO95" s="3" t="s">
        <v>201</v>
      </c>
      <c r="BP95" s="3" t="s">
        <v>201</v>
      </c>
      <c r="BQ95" s="3" t="s">
        <v>201</v>
      </c>
      <c r="BR95" s="3" t="s">
        <v>201</v>
      </c>
      <c r="BS95" s="3" t="s">
        <v>201</v>
      </c>
      <c r="BT95" s="3" t="s">
        <v>201</v>
      </c>
      <c r="BU95" s="3" t="s">
        <v>201</v>
      </c>
      <c r="BV95" s="3" t="s">
        <v>201</v>
      </c>
      <c r="BW95" s="3" t="s">
        <v>201</v>
      </c>
      <c r="BX95" s="3" t="s">
        <v>201</v>
      </c>
      <c r="BY95" s="3" t="s">
        <v>201</v>
      </c>
      <c r="BZ95" s="3" t="s">
        <v>201</v>
      </c>
      <c r="CA95" s="3" t="s">
        <v>201</v>
      </c>
      <c r="CB95" s="3" t="s">
        <v>201</v>
      </c>
      <c r="CC95" s="3" t="s">
        <v>201</v>
      </c>
      <c r="CD95" s="3" t="s">
        <v>201</v>
      </c>
      <c r="CE95" s="3" t="s">
        <v>201</v>
      </c>
      <c r="CF95" s="3" t="s">
        <v>201</v>
      </c>
      <c r="CG95" s="3" t="s">
        <v>201</v>
      </c>
      <c r="CH95" s="3" t="s">
        <v>201</v>
      </c>
      <c r="CI95" s="3" t="s">
        <v>201</v>
      </c>
      <c r="CJ95" s="3" t="s">
        <v>201</v>
      </c>
      <c r="CK95" s="3" t="s">
        <v>201</v>
      </c>
      <c r="CL95" s="3" t="s">
        <v>201</v>
      </c>
      <c r="CM95" s="3" t="s">
        <v>201</v>
      </c>
      <c r="CN95" s="3" t="s">
        <v>201</v>
      </c>
      <c r="CO95" s="3" t="s">
        <v>201</v>
      </c>
      <c r="CP95" s="3" t="s">
        <v>201</v>
      </c>
      <c r="CQ95" s="3" t="s">
        <v>201</v>
      </c>
      <c r="CR95" s="3" t="s">
        <v>201</v>
      </c>
      <c r="CS95" s="3" t="s">
        <v>201</v>
      </c>
      <c r="CT95" s="3" t="s">
        <v>201</v>
      </c>
      <c r="CU95" s="3" t="s">
        <v>201</v>
      </c>
      <c r="CV95" s="3" t="s">
        <v>201</v>
      </c>
      <c r="CW95" s="3" t="s">
        <v>201</v>
      </c>
      <c r="CX95" s="3" t="s">
        <v>201</v>
      </c>
      <c r="CY95" s="3" t="s">
        <v>201</v>
      </c>
      <c r="CZ95" s="3" t="s">
        <v>201</v>
      </c>
      <c r="DA95" s="3" t="s">
        <v>201</v>
      </c>
      <c r="DB95" s="3" t="s">
        <v>201</v>
      </c>
      <c r="DC95" s="3" t="s">
        <v>201</v>
      </c>
      <c r="DD95" s="3" t="s">
        <v>201</v>
      </c>
      <c r="DE95" s="3" t="s">
        <v>201</v>
      </c>
      <c r="DF95" s="3" t="s">
        <v>201</v>
      </c>
      <c r="DG95" s="3" t="s">
        <v>201</v>
      </c>
      <c r="DH95" s="3" t="s">
        <v>201</v>
      </c>
      <c r="DI95" s="3" t="s">
        <v>201</v>
      </c>
      <c r="DJ95" s="3" t="s">
        <v>201</v>
      </c>
      <c r="DK95" s="3" t="s">
        <v>201</v>
      </c>
      <c r="DL95" s="3" t="s">
        <v>201</v>
      </c>
      <c r="DM95" s="3" t="s">
        <v>201</v>
      </c>
      <c r="DN95" s="3" t="s">
        <v>201</v>
      </c>
      <c r="DO95" s="3" t="s">
        <v>201</v>
      </c>
      <c r="DP95" s="3" t="s">
        <v>201</v>
      </c>
      <c r="DQ95" s="3" t="s">
        <v>201</v>
      </c>
      <c r="DR95">
        <f t="shared" si="2"/>
        <v>2022</v>
      </c>
    </row>
    <row r="96" spans="1:122" x14ac:dyDescent="0.35">
      <c r="A96" s="1">
        <f t="shared" si="3"/>
        <v>44866</v>
      </c>
      <c r="B96" s="2">
        <v>21</v>
      </c>
      <c r="C96" s="2">
        <v>13</v>
      </c>
      <c r="D96" s="2">
        <v>17</v>
      </c>
      <c r="E96" s="2">
        <v>16</v>
      </c>
      <c r="F96" s="2">
        <v>11</v>
      </c>
      <c r="G96" s="2">
        <v>10</v>
      </c>
      <c r="H96" s="2">
        <v>7</v>
      </c>
      <c r="I96" s="2">
        <v>11</v>
      </c>
      <c r="J96" s="2">
        <v>9</v>
      </c>
      <c r="K96" s="2">
        <v>8</v>
      </c>
      <c r="L96" s="2">
        <v>7</v>
      </c>
      <c r="M96" s="2">
        <v>8</v>
      </c>
      <c r="N96" s="3">
        <v>1</v>
      </c>
      <c r="O96" s="3">
        <v>4</v>
      </c>
      <c r="P96" s="3">
        <v>2</v>
      </c>
      <c r="Q96" s="3">
        <v>3</v>
      </c>
      <c r="R96" s="3">
        <v>0</v>
      </c>
      <c r="S96" s="3">
        <v>3</v>
      </c>
      <c r="T96" s="3">
        <v>4</v>
      </c>
      <c r="U96" s="3">
        <v>1</v>
      </c>
      <c r="V96" s="3">
        <v>3</v>
      </c>
      <c r="W96" s="3">
        <v>1</v>
      </c>
      <c r="X96" s="3">
        <v>2</v>
      </c>
      <c r="Y96" s="3">
        <v>1</v>
      </c>
      <c r="Z96" s="3">
        <v>0</v>
      </c>
      <c r="AA96" s="3">
        <v>2</v>
      </c>
      <c r="AB96" s="3" t="s">
        <v>201</v>
      </c>
      <c r="AC96" s="3" t="s">
        <v>201</v>
      </c>
      <c r="AD96" s="3" t="s">
        <v>201</v>
      </c>
      <c r="AE96" s="3" t="s">
        <v>201</v>
      </c>
      <c r="AF96" s="3" t="s">
        <v>201</v>
      </c>
      <c r="AG96" s="3" t="s">
        <v>201</v>
      </c>
      <c r="AH96" s="3" t="s">
        <v>201</v>
      </c>
      <c r="AI96" s="3" t="s">
        <v>201</v>
      </c>
      <c r="AJ96" s="3" t="s">
        <v>201</v>
      </c>
      <c r="AK96" s="3" t="s">
        <v>201</v>
      </c>
      <c r="AL96" s="3" t="s">
        <v>201</v>
      </c>
      <c r="AM96" s="3" t="s">
        <v>201</v>
      </c>
      <c r="AN96" s="3" t="s">
        <v>201</v>
      </c>
      <c r="AO96" s="3" t="s">
        <v>201</v>
      </c>
      <c r="AP96" s="3" t="s">
        <v>201</v>
      </c>
      <c r="AQ96" s="3" t="s">
        <v>201</v>
      </c>
      <c r="AR96" s="3" t="s">
        <v>201</v>
      </c>
      <c r="AS96" s="3" t="s">
        <v>201</v>
      </c>
      <c r="AT96" s="3" t="s">
        <v>201</v>
      </c>
      <c r="AU96" s="3" t="s">
        <v>201</v>
      </c>
      <c r="AV96" s="3" t="s">
        <v>201</v>
      </c>
      <c r="AW96" s="3" t="s">
        <v>201</v>
      </c>
      <c r="AX96" s="3" t="s">
        <v>201</v>
      </c>
      <c r="AY96" s="3" t="s">
        <v>201</v>
      </c>
      <c r="AZ96" s="3" t="s">
        <v>201</v>
      </c>
      <c r="BA96" s="3" t="s">
        <v>201</v>
      </c>
      <c r="BB96" s="3" t="s">
        <v>201</v>
      </c>
      <c r="BC96" s="3" t="s">
        <v>201</v>
      </c>
      <c r="BD96" s="3" t="s">
        <v>201</v>
      </c>
      <c r="BE96" s="3" t="s">
        <v>201</v>
      </c>
      <c r="BF96" s="3" t="s">
        <v>201</v>
      </c>
      <c r="BG96" s="3" t="s">
        <v>201</v>
      </c>
      <c r="BH96" s="3" t="s">
        <v>201</v>
      </c>
      <c r="BI96" s="3" t="s">
        <v>201</v>
      </c>
      <c r="BJ96" s="3" t="s">
        <v>201</v>
      </c>
      <c r="BK96" s="3" t="s">
        <v>201</v>
      </c>
      <c r="BL96" s="3" t="s">
        <v>201</v>
      </c>
      <c r="BM96" s="3" t="s">
        <v>201</v>
      </c>
      <c r="BN96" s="3" t="s">
        <v>201</v>
      </c>
      <c r="BO96" s="3" t="s">
        <v>201</v>
      </c>
      <c r="BP96" s="3" t="s">
        <v>201</v>
      </c>
      <c r="BQ96" s="3" t="s">
        <v>201</v>
      </c>
      <c r="BR96" s="3" t="s">
        <v>201</v>
      </c>
      <c r="BS96" s="3" t="s">
        <v>201</v>
      </c>
      <c r="BT96" s="3" t="s">
        <v>201</v>
      </c>
      <c r="BU96" s="3" t="s">
        <v>201</v>
      </c>
      <c r="BV96" s="3" t="s">
        <v>201</v>
      </c>
      <c r="BW96" s="3" t="s">
        <v>201</v>
      </c>
      <c r="BX96" s="3" t="s">
        <v>201</v>
      </c>
      <c r="BY96" s="3" t="s">
        <v>201</v>
      </c>
      <c r="BZ96" s="3" t="s">
        <v>201</v>
      </c>
      <c r="CA96" s="3" t="s">
        <v>201</v>
      </c>
      <c r="CB96" s="3" t="s">
        <v>201</v>
      </c>
      <c r="CC96" s="3" t="s">
        <v>201</v>
      </c>
      <c r="CD96" s="3" t="s">
        <v>201</v>
      </c>
      <c r="CE96" s="3" t="s">
        <v>201</v>
      </c>
      <c r="CF96" s="3" t="s">
        <v>201</v>
      </c>
      <c r="CG96" s="3" t="s">
        <v>201</v>
      </c>
      <c r="CH96" s="3" t="s">
        <v>201</v>
      </c>
      <c r="CI96" s="3" t="s">
        <v>201</v>
      </c>
      <c r="CJ96" s="3" t="s">
        <v>201</v>
      </c>
      <c r="CK96" s="3" t="s">
        <v>201</v>
      </c>
      <c r="CL96" s="3" t="s">
        <v>201</v>
      </c>
      <c r="CM96" s="3" t="s">
        <v>201</v>
      </c>
      <c r="CN96" s="3" t="s">
        <v>201</v>
      </c>
      <c r="CO96" s="3" t="s">
        <v>201</v>
      </c>
      <c r="CP96" s="3" t="s">
        <v>201</v>
      </c>
      <c r="CQ96" s="3" t="s">
        <v>201</v>
      </c>
      <c r="CR96" s="3" t="s">
        <v>201</v>
      </c>
      <c r="CS96" s="3" t="s">
        <v>201</v>
      </c>
      <c r="CT96" s="3" t="s">
        <v>201</v>
      </c>
      <c r="CU96" s="3" t="s">
        <v>201</v>
      </c>
      <c r="CV96" s="3" t="s">
        <v>201</v>
      </c>
      <c r="CW96" s="3" t="s">
        <v>201</v>
      </c>
      <c r="CX96" s="3" t="s">
        <v>201</v>
      </c>
      <c r="CY96" s="3" t="s">
        <v>201</v>
      </c>
      <c r="CZ96" s="3" t="s">
        <v>201</v>
      </c>
      <c r="DA96" s="3" t="s">
        <v>201</v>
      </c>
      <c r="DB96" s="3" t="s">
        <v>201</v>
      </c>
      <c r="DC96" s="3" t="s">
        <v>201</v>
      </c>
      <c r="DD96" s="3" t="s">
        <v>201</v>
      </c>
      <c r="DE96" s="3" t="s">
        <v>201</v>
      </c>
      <c r="DF96" s="3" t="s">
        <v>201</v>
      </c>
      <c r="DG96" s="3" t="s">
        <v>201</v>
      </c>
      <c r="DH96" s="3" t="s">
        <v>201</v>
      </c>
      <c r="DI96" s="3" t="s">
        <v>201</v>
      </c>
      <c r="DJ96" s="3" t="s">
        <v>201</v>
      </c>
      <c r="DK96" s="3" t="s">
        <v>201</v>
      </c>
      <c r="DL96" s="3" t="s">
        <v>201</v>
      </c>
      <c r="DM96" s="3" t="s">
        <v>201</v>
      </c>
      <c r="DN96" s="3" t="s">
        <v>201</v>
      </c>
      <c r="DO96" s="3" t="s">
        <v>201</v>
      </c>
      <c r="DP96" s="3" t="s">
        <v>201</v>
      </c>
      <c r="DQ96" s="3" t="s">
        <v>201</v>
      </c>
      <c r="DR96">
        <f t="shared" si="2"/>
        <v>2022</v>
      </c>
    </row>
    <row r="97" spans="1:122" x14ac:dyDescent="0.35">
      <c r="A97" s="1">
        <f t="shared" si="3"/>
        <v>44896</v>
      </c>
      <c r="B97" s="2">
        <v>31</v>
      </c>
      <c r="C97" s="2">
        <v>28</v>
      </c>
      <c r="D97" s="2">
        <v>27</v>
      </c>
      <c r="E97" s="2">
        <v>13</v>
      </c>
      <c r="F97" s="2">
        <v>19</v>
      </c>
      <c r="G97" s="2">
        <v>17</v>
      </c>
      <c r="H97" s="2">
        <v>7</v>
      </c>
      <c r="I97" s="2">
        <v>22</v>
      </c>
      <c r="J97" s="2">
        <v>8</v>
      </c>
      <c r="K97" s="2">
        <v>8</v>
      </c>
      <c r="L97" s="2">
        <v>10</v>
      </c>
      <c r="M97" s="2">
        <v>8</v>
      </c>
      <c r="N97" s="3">
        <v>4</v>
      </c>
      <c r="O97" s="3">
        <v>3</v>
      </c>
      <c r="P97" s="3">
        <v>3</v>
      </c>
      <c r="Q97" s="3">
        <v>6</v>
      </c>
      <c r="R97" s="3">
        <v>2</v>
      </c>
      <c r="S97" s="3">
        <v>3</v>
      </c>
      <c r="T97" s="3">
        <v>1</v>
      </c>
      <c r="U97" s="3">
        <v>4</v>
      </c>
      <c r="V97" s="3">
        <v>0</v>
      </c>
      <c r="W97" s="3">
        <v>4</v>
      </c>
      <c r="X97" s="3">
        <v>0</v>
      </c>
      <c r="Y97" s="3">
        <v>0</v>
      </c>
      <c r="Z97" s="3">
        <v>0</v>
      </c>
      <c r="AA97" s="3" t="s">
        <v>201</v>
      </c>
      <c r="AB97" s="3" t="s">
        <v>201</v>
      </c>
      <c r="AC97" s="3" t="s">
        <v>201</v>
      </c>
      <c r="AD97" s="3" t="s">
        <v>201</v>
      </c>
      <c r="AE97" s="3" t="s">
        <v>201</v>
      </c>
      <c r="AF97" s="3" t="s">
        <v>201</v>
      </c>
      <c r="AG97" s="3" t="s">
        <v>201</v>
      </c>
      <c r="AH97" s="3" t="s">
        <v>201</v>
      </c>
      <c r="AI97" s="3" t="s">
        <v>201</v>
      </c>
      <c r="AJ97" s="3" t="s">
        <v>201</v>
      </c>
      <c r="AK97" s="3" t="s">
        <v>201</v>
      </c>
      <c r="AL97" s="3" t="s">
        <v>201</v>
      </c>
      <c r="AM97" s="3" t="s">
        <v>201</v>
      </c>
      <c r="AN97" s="3" t="s">
        <v>201</v>
      </c>
      <c r="AO97" s="3" t="s">
        <v>201</v>
      </c>
      <c r="AP97" s="3" t="s">
        <v>201</v>
      </c>
      <c r="AQ97" s="3" t="s">
        <v>201</v>
      </c>
      <c r="AR97" s="3" t="s">
        <v>201</v>
      </c>
      <c r="AS97" s="3" t="s">
        <v>201</v>
      </c>
      <c r="AT97" s="3" t="s">
        <v>201</v>
      </c>
      <c r="AU97" s="3" t="s">
        <v>201</v>
      </c>
      <c r="AV97" s="3" t="s">
        <v>201</v>
      </c>
      <c r="AW97" s="3" t="s">
        <v>201</v>
      </c>
      <c r="AX97" s="3" t="s">
        <v>201</v>
      </c>
      <c r="AY97" s="3" t="s">
        <v>201</v>
      </c>
      <c r="AZ97" s="3" t="s">
        <v>201</v>
      </c>
      <c r="BA97" s="3" t="s">
        <v>201</v>
      </c>
      <c r="BB97" s="3" t="s">
        <v>201</v>
      </c>
      <c r="BC97" s="3" t="s">
        <v>201</v>
      </c>
      <c r="BD97" s="3" t="s">
        <v>201</v>
      </c>
      <c r="BE97" s="3" t="s">
        <v>201</v>
      </c>
      <c r="BF97" s="3" t="s">
        <v>201</v>
      </c>
      <c r="BG97" s="3" t="s">
        <v>201</v>
      </c>
      <c r="BH97" s="3" t="s">
        <v>201</v>
      </c>
      <c r="BI97" s="3" t="s">
        <v>201</v>
      </c>
      <c r="BJ97" s="3" t="s">
        <v>201</v>
      </c>
      <c r="BK97" s="3" t="s">
        <v>201</v>
      </c>
      <c r="BL97" s="3" t="s">
        <v>201</v>
      </c>
      <c r="BM97" s="3" t="s">
        <v>201</v>
      </c>
      <c r="BN97" s="3" t="s">
        <v>201</v>
      </c>
      <c r="BO97" s="3" t="s">
        <v>201</v>
      </c>
      <c r="BP97" s="3" t="s">
        <v>201</v>
      </c>
      <c r="BQ97" s="3" t="s">
        <v>201</v>
      </c>
      <c r="BR97" s="3" t="s">
        <v>201</v>
      </c>
      <c r="BS97" s="3" t="s">
        <v>201</v>
      </c>
      <c r="BT97" s="3" t="s">
        <v>201</v>
      </c>
      <c r="BU97" s="3" t="s">
        <v>201</v>
      </c>
      <c r="BV97" s="3" t="s">
        <v>201</v>
      </c>
      <c r="BW97" s="3" t="s">
        <v>201</v>
      </c>
      <c r="BX97" s="3" t="s">
        <v>201</v>
      </c>
      <c r="BY97" s="3" t="s">
        <v>201</v>
      </c>
      <c r="BZ97" s="3" t="s">
        <v>201</v>
      </c>
      <c r="CA97" s="3" t="s">
        <v>201</v>
      </c>
      <c r="CB97" s="3" t="s">
        <v>201</v>
      </c>
      <c r="CC97" s="3" t="s">
        <v>201</v>
      </c>
      <c r="CD97" s="3" t="s">
        <v>201</v>
      </c>
      <c r="CE97" s="3" t="s">
        <v>201</v>
      </c>
      <c r="CF97" s="3" t="s">
        <v>201</v>
      </c>
      <c r="CG97" s="3" t="s">
        <v>201</v>
      </c>
      <c r="CH97" s="3" t="s">
        <v>201</v>
      </c>
      <c r="CI97" s="3" t="s">
        <v>201</v>
      </c>
      <c r="CJ97" s="3" t="s">
        <v>201</v>
      </c>
      <c r="CK97" s="3" t="s">
        <v>201</v>
      </c>
      <c r="CL97" s="3" t="s">
        <v>201</v>
      </c>
      <c r="CM97" s="3" t="s">
        <v>201</v>
      </c>
      <c r="CN97" s="3" t="s">
        <v>201</v>
      </c>
      <c r="CO97" s="3" t="s">
        <v>201</v>
      </c>
      <c r="CP97" s="3" t="s">
        <v>201</v>
      </c>
      <c r="CQ97" s="3" t="s">
        <v>201</v>
      </c>
      <c r="CR97" s="3" t="s">
        <v>201</v>
      </c>
      <c r="CS97" s="3" t="s">
        <v>201</v>
      </c>
      <c r="CT97" s="3" t="s">
        <v>201</v>
      </c>
      <c r="CU97" s="3" t="s">
        <v>201</v>
      </c>
      <c r="CV97" s="3" t="s">
        <v>201</v>
      </c>
      <c r="CW97" s="3" t="s">
        <v>201</v>
      </c>
      <c r="CX97" s="3" t="s">
        <v>201</v>
      </c>
      <c r="CY97" s="3" t="s">
        <v>201</v>
      </c>
      <c r="CZ97" s="3" t="s">
        <v>201</v>
      </c>
      <c r="DA97" s="3" t="s">
        <v>201</v>
      </c>
      <c r="DB97" s="3" t="s">
        <v>201</v>
      </c>
      <c r="DC97" s="3" t="s">
        <v>201</v>
      </c>
      <c r="DD97" s="3" t="s">
        <v>201</v>
      </c>
      <c r="DE97" s="3" t="s">
        <v>201</v>
      </c>
      <c r="DF97" s="3" t="s">
        <v>201</v>
      </c>
      <c r="DG97" s="3" t="s">
        <v>201</v>
      </c>
      <c r="DH97" s="3" t="s">
        <v>201</v>
      </c>
      <c r="DI97" s="3" t="s">
        <v>201</v>
      </c>
      <c r="DJ97" s="3" t="s">
        <v>201</v>
      </c>
      <c r="DK97" s="3" t="s">
        <v>201</v>
      </c>
      <c r="DL97" s="3" t="s">
        <v>201</v>
      </c>
      <c r="DM97" s="3" t="s">
        <v>201</v>
      </c>
      <c r="DN97" s="3" t="s">
        <v>201</v>
      </c>
      <c r="DO97" s="3" t="s">
        <v>201</v>
      </c>
      <c r="DP97" s="3" t="s">
        <v>201</v>
      </c>
      <c r="DQ97" s="3" t="s">
        <v>201</v>
      </c>
      <c r="DR97">
        <f t="shared" si="2"/>
        <v>2022</v>
      </c>
    </row>
    <row r="98" spans="1:122" x14ac:dyDescent="0.35">
      <c r="A98" s="4">
        <f t="shared" si="3"/>
        <v>44927</v>
      </c>
      <c r="B98" s="5">
        <v>28</v>
      </c>
      <c r="C98" s="5">
        <v>34</v>
      </c>
      <c r="D98" s="5">
        <v>20</v>
      </c>
      <c r="E98" s="5">
        <v>20</v>
      </c>
      <c r="F98" s="5">
        <v>20</v>
      </c>
      <c r="G98" s="5">
        <v>8</v>
      </c>
      <c r="H98" s="5">
        <v>11</v>
      </c>
      <c r="I98" s="5">
        <v>5</v>
      </c>
      <c r="J98" s="5">
        <v>6</v>
      </c>
      <c r="K98" s="5">
        <v>5</v>
      </c>
      <c r="L98" s="5">
        <v>10</v>
      </c>
      <c r="M98" s="5">
        <v>5</v>
      </c>
      <c r="N98" s="5">
        <v>3</v>
      </c>
      <c r="O98" s="5">
        <v>5</v>
      </c>
      <c r="P98" s="5">
        <v>6</v>
      </c>
      <c r="Q98" s="5">
        <v>6</v>
      </c>
      <c r="R98" s="5">
        <v>3</v>
      </c>
      <c r="S98" s="5">
        <v>2</v>
      </c>
      <c r="T98" s="5">
        <v>3</v>
      </c>
      <c r="U98" s="5">
        <v>1</v>
      </c>
      <c r="V98" s="5">
        <v>2</v>
      </c>
      <c r="W98" s="5">
        <v>1</v>
      </c>
      <c r="X98" s="5">
        <v>1</v>
      </c>
      <c r="Y98" s="5">
        <v>0</v>
      </c>
      <c r="Z98" s="5" t="s">
        <v>201</v>
      </c>
      <c r="AA98" s="5" t="s">
        <v>201</v>
      </c>
      <c r="AB98" s="5" t="s">
        <v>201</v>
      </c>
      <c r="AC98" s="5" t="s">
        <v>201</v>
      </c>
      <c r="AD98" s="5" t="s">
        <v>201</v>
      </c>
      <c r="AE98" s="5" t="s">
        <v>201</v>
      </c>
      <c r="AF98" s="5" t="s">
        <v>201</v>
      </c>
      <c r="AG98" s="5" t="s">
        <v>201</v>
      </c>
      <c r="AH98" s="5" t="s">
        <v>201</v>
      </c>
      <c r="AI98" s="5" t="s">
        <v>201</v>
      </c>
      <c r="AJ98" s="5" t="s">
        <v>201</v>
      </c>
      <c r="AK98" s="5" t="s">
        <v>201</v>
      </c>
      <c r="AL98" s="5" t="s">
        <v>201</v>
      </c>
      <c r="AM98" s="5" t="s">
        <v>201</v>
      </c>
      <c r="AN98" s="5" t="s">
        <v>201</v>
      </c>
      <c r="AO98" s="5" t="s">
        <v>201</v>
      </c>
      <c r="AP98" s="5" t="s">
        <v>201</v>
      </c>
      <c r="AQ98" s="5" t="s">
        <v>201</v>
      </c>
      <c r="AR98" s="5" t="s">
        <v>201</v>
      </c>
      <c r="AS98" s="5" t="s">
        <v>201</v>
      </c>
      <c r="AT98" s="5" t="s">
        <v>201</v>
      </c>
      <c r="AU98" s="5" t="s">
        <v>201</v>
      </c>
      <c r="AV98" s="5" t="s">
        <v>201</v>
      </c>
      <c r="AW98" s="5" t="s">
        <v>201</v>
      </c>
      <c r="AX98" s="5" t="s">
        <v>201</v>
      </c>
      <c r="AY98" s="5" t="s">
        <v>201</v>
      </c>
      <c r="AZ98" s="5" t="s">
        <v>201</v>
      </c>
      <c r="BA98" s="5" t="s">
        <v>201</v>
      </c>
      <c r="BB98" s="5" t="s">
        <v>201</v>
      </c>
      <c r="BC98" s="5" t="s">
        <v>201</v>
      </c>
      <c r="BD98" s="5" t="s">
        <v>201</v>
      </c>
      <c r="BE98" s="5" t="s">
        <v>201</v>
      </c>
      <c r="BF98" s="5" t="s">
        <v>201</v>
      </c>
      <c r="BG98" s="5" t="s">
        <v>201</v>
      </c>
      <c r="BH98" s="5" t="s">
        <v>201</v>
      </c>
      <c r="BI98" s="5" t="s">
        <v>201</v>
      </c>
      <c r="BJ98" s="5" t="s">
        <v>201</v>
      </c>
      <c r="BK98" s="5" t="s">
        <v>201</v>
      </c>
      <c r="BL98" s="5" t="s">
        <v>201</v>
      </c>
      <c r="BM98" s="5" t="s">
        <v>201</v>
      </c>
      <c r="BN98" s="5" t="s">
        <v>201</v>
      </c>
      <c r="BO98" s="5" t="s">
        <v>201</v>
      </c>
      <c r="BP98" s="5" t="s">
        <v>201</v>
      </c>
      <c r="BQ98" s="5" t="s">
        <v>201</v>
      </c>
      <c r="BR98" s="5" t="s">
        <v>201</v>
      </c>
      <c r="BS98" s="5" t="s">
        <v>201</v>
      </c>
      <c r="BT98" s="5" t="s">
        <v>201</v>
      </c>
      <c r="BU98" s="5" t="s">
        <v>201</v>
      </c>
      <c r="BV98" s="5" t="s">
        <v>201</v>
      </c>
      <c r="BW98" s="5" t="s">
        <v>201</v>
      </c>
      <c r="BX98" s="5" t="s">
        <v>201</v>
      </c>
      <c r="BY98" s="5" t="s">
        <v>201</v>
      </c>
      <c r="BZ98" s="5" t="s">
        <v>201</v>
      </c>
      <c r="CA98" s="5" t="s">
        <v>201</v>
      </c>
      <c r="CB98" s="5" t="s">
        <v>201</v>
      </c>
      <c r="CC98" s="5" t="s">
        <v>201</v>
      </c>
      <c r="CD98" s="5" t="s">
        <v>201</v>
      </c>
      <c r="CE98" s="5" t="s">
        <v>201</v>
      </c>
      <c r="CF98" s="5" t="s">
        <v>201</v>
      </c>
      <c r="CG98" s="5" t="s">
        <v>201</v>
      </c>
      <c r="CH98" s="5" t="s">
        <v>201</v>
      </c>
      <c r="CI98" s="5" t="s">
        <v>201</v>
      </c>
      <c r="CJ98" s="5" t="s">
        <v>201</v>
      </c>
      <c r="CK98" s="5" t="s">
        <v>201</v>
      </c>
      <c r="CL98" s="5" t="s">
        <v>201</v>
      </c>
      <c r="CM98" s="5" t="s">
        <v>201</v>
      </c>
      <c r="CN98" s="5" t="s">
        <v>201</v>
      </c>
      <c r="CO98" s="5" t="s">
        <v>201</v>
      </c>
      <c r="CP98" s="5" t="s">
        <v>201</v>
      </c>
      <c r="CQ98" s="5" t="s">
        <v>201</v>
      </c>
      <c r="CR98" s="5" t="s">
        <v>201</v>
      </c>
      <c r="CS98" s="5" t="s">
        <v>201</v>
      </c>
      <c r="CT98" s="5" t="s">
        <v>201</v>
      </c>
      <c r="CU98" s="5" t="s">
        <v>201</v>
      </c>
      <c r="CV98" s="5" t="s">
        <v>201</v>
      </c>
      <c r="CW98" s="5" t="s">
        <v>201</v>
      </c>
      <c r="CX98" s="5" t="s">
        <v>201</v>
      </c>
      <c r="CY98" s="5" t="s">
        <v>201</v>
      </c>
      <c r="CZ98" s="5" t="s">
        <v>201</v>
      </c>
      <c r="DA98" s="5" t="s">
        <v>201</v>
      </c>
      <c r="DB98" s="5" t="s">
        <v>201</v>
      </c>
      <c r="DC98" s="5" t="s">
        <v>201</v>
      </c>
      <c r="DD98" s="5" t="s">
        <v>201</v>
      </c>
      <c r="DE98" s="5" t="s">
        <v>201</v>
      </c>
      <c r="DF98" s="5" t="s">
        <v>201</v>
      </c>
      <c r="DG98" s="5" t="s">
        <v>201</v>
      </c>
      <c r="DH98" s="5" t="s">
        <v>201</v>
      </c>
      <c r="DI98" s="5" t="s">
        <v>201</v>
      </c>
      <c r="DJ98" s="5" t="s">
        <v>201</v>
      </c>
      <c r="DK98" s="5" t="s">
        <v>201</v>
      </c>
      <c r="DL98" s="5" t="s">
        <v>201</v>
      </c>
      <c r="DM98" s="5" t="s">
        <v>201</v>
      </c>
      <c r="DN98" s="5" t="s">
        <v>201</v>
      </c>
      <c r="DO98" s="5" t="s">
        <v>201</v>
      </c>
      <c r="DP98" s="5" t="s">
        <v>201</v>
      </c>
      <c r="DQ98" s="5" t="s">
        <v>201</v>
      </c>
      <c r="DR98">
        <f t="shared" si="2"/>
        <v>2023</v>
      </c>
    </row>
    <row r="99" spans="1:122" x14ac:dyDescent="0.35">
      <c r="A99" s="1">
        <f t="shared" si="3"/>
        <v>44958</v>
      </c>
      <c r="B99" s="2">
        <v>40</v>
      </c>
      <c r="C99" s="2">
        <v>26</v>
      </c>
      <c r="D99" s="2">
        <v>34</v>
      </c>
      <c r="E99" s="2">
        <v>30</v>
      </c>
      <c r="F99" s="2">
        <v>21</v>
      </c>
      <c r="G99" s="2">
        <v>11</v>
      </c>
      <c r="H99" s="2">
        <v>4</v>
      </c>
      <c r="I99" s="2">
        <v>5</v>
      </c>
      <c r="J99" s="2">
        <v>11</v>
      </c>
      <c r="K99" s="2">
        <v>4</v>
      </c>
      <c r="L99" s="2">
        <v>6</v>
      </c>
      <c r="M99" s="2">
        <v>4</v>
      </c>
      <c r="N99" s="3">
        <v>3</v>
      </c>
      <c r="O99" s="3">
        <v>5</v>
      </c>
      <c r="P99" s="3">
        <v>3</v>
      </c>
      <c r="Q99" s="3">
        <v>6</v>
      </c>
      <c r="R99" s="3">
        <v>2</v>
      </c>
      <c r="S99" s="3">
        <v>6</v>
      </c>
      <c r="T99" s="3">
        <v>0</v>
      </c>
      <c r="U99" s="3">
        <v>3</v>
      </c>
      <c r="V99" s="3">
        <v>0</v>
      </c>
      <c r="W99" s="3">
        <v>0</v>
      </c>
      <c r="X99" s="3">
        <v>3</v>
      </c>
      <c r="Y99" s="3" t="s">
        <v>201</v>
      </c>
      <c r="Z99" s="3" t="s">
        <v>201</v>
      </c>
      <c r="AA99" s="3" t="s">
        <v>201</v>
      </c>
      <c r="AB99" s="3" t="s">
        <v>201</v>
      </c>
      <c r="AC99" s="3" t="s">
        <v>201</v>
      </c>
      <c r="AD99" s="3" t="s">
        <v>201</v>
      </c>
      <c r="AE99" s="3" t="s">
        <v>201</v>
      </c>
      <c r="AF99" s="3" t="s">
        <v>201</v>
      </c>
      <c r="AG99" s="3" t="s">
        <v>201</v>
      </c>
      <c r="AH99" s="3" t="s">
        <v>201</v>
      </c>
      <c r="AI99" s="3" t="s">
        <v>201</v>
      </c>
      <c r="AJ99" s="3" t="s">
        <v>201</v>
      </c>
      <c r="AK99" s="3" t="s">
        <v>201</v>
      </c>
      <c r="AL99" s="3" t="s">
        <v>201</v>
      </c>
      <c r="AM99" s="3" t="s">
        <v>201</v>
      </c>
      <c r="AN99" s="3" t="s">
        <v>201</v>
      </c>
      <c r="AO99" s="3" t="s">
        <v>201</v>
      </c>
      <c r="AP99" s="3" t="s">
        <v>201</v>
      </c>
      <c r="AQ99" s="3" t="s">
        <v>201</v>
      </c>
      <c r="AR99" s="3" t="s">
        <v>201</v>
      </c>
      <c r="AS99" s="3" t="s">
        <v>201</v>
      </c>
      <c r="AT99" s="3" t="s">
        <v>201</v>
      </c>
      <c r="AU99" s="3" t="s">
        <v>201</v>
      </c>
      <c r="AV99" s="3" t="s">
        <v>201</v>
      </c>
      <c r="AW99" s="3" t="s">
        <v>201</v>
      </c>
      <c r="AX99" s="3" t="s">
        <v>201</v>
      </c>
      <c r="AY99" s="3" t="s">
        <v>201</v>
      </c>
      <c r="AZ99" s="3" t="s">
        <v>201</v>
      </c>
      <c r="BA99" s="3" t="s">
        <v>201</v>
      </c>
      <c r="BB99" s="3" t="s">
        <v>201</v>
      </c>
      <c r="BC99" s="3" t="s">
        <v>201</v>
      </c>
      <c r="BD99" s="3" t="s">
        <v>201</v>
      </c>
      <c r="BE99" s="3" t="s">
        <v>201</v>
      </c>
      <c r="BF99" s="3" t="s">
        <v>201</v>
      </c>
      <c r="BG99" s="3" t="s">
        <v>201</v>
      </c>
      <c r="BH99" s="3" t="s">
        <v>201</v>
      </c>
      <c r="BI99" s="3" t="s">
        <v>201</v>
      </c>
      <c r="BJ99" s="3" t="s">
        <v>201</v>
      </c>
      <c r="BK99" s="3" t="s">
        <v>201</v>
      </c>
      <c r="BL99" s="3" t="s">
        <v>201</v>
      </c>
      <c r="BM99" s="3" t="s">
        <v>201</v>
      </c>
      <c r="BN99" s="3" t="s">
        <v>201</v>
      </c>
      <c r="BO99" s="3" t="s">
        <v>201</v>
      </c>
      <c r="BP99" s="3" t="s">
        <v>201</v>
      </c>
      <c r="BQ99" s="3" t="s">
        <v>201</v>
      </c>
      <c r="BR99" s="3" t="s">
        <v>201</v>
      </c>
      <c r="BS99" s="3" t="s">
        <v>201</v>
      </c>
      <c r="BT99" s="3" t="s">
        <v>201</v>
      </c>
      <c r="BU99" s="3" t="s">
        <v>201</v>
      </c>
      <c r="BV99" s="3" t="s">
        <v>201</v>
      </c>
      <c r="BW99" s="3" t="s">
        <v>201</v>
      </c>
      <c r="BX99" s="3" t="s">
        <v>201</v>
      </c>
      <c r="BY99" s="3" t="s">
        <v>201</v>
      </c>
      <c r="BZ99" s="3" t="s">
        <v>201</v>
      </c>
      <c r="CA99" s="3" t="s">
        <v>201</v>
      </c>
      <c r="CB99" s="3" t="s">
        <v>201</v>
      </c>
      <c r="CC99" s="3" t="s">
        <v>201</v>
      </c>
      <c r="CD99" s="3" t="s">
        <v>201</v>
      </c>
      <c r="CE99" s="3" t="s">
        <v>201</v>
      </c>
      <c r="CF99" s="3" t="s">
        <v>201</v>
      </c>
      <c r="CG99" s="3" t="s">
        <v>201</v>
      </c>
      <c r="CH99" s="3" t="s">
        <v>201</v>
      </c>
      <c r="CI99" s="3" t="s">
        <v>201</v>
      </c>
      <c r="CJ99" s="3" t="s">
        <v>201</v>
      </c>
      <c r="CK99" s="3" t="s">
        <v>201</v>
      </c>
      <c r="CL99" s="3" t="s">
        <v>201</v>
      </c>
      <c r="CM99" s="3" t="s">
        <v>201</v>
      </c>
      <c r="CN99" s="3" t="s">
        <v>201</v>
      </c>
      <c r="CO99" s="3" t="s">
        <v>201</v>
      </c>
      <c r="CP99" s="3" t="s">
        <v>201</v>
      </c>
      <c r="CQ99" s="3" t="s">
        <v>201</v>
      </c>
      <c r="CR99" s="3" t="s">
        <v>201</v>
      </c>
      <c r="CS99" s="3" t="s">
        <v>201</v>
      </c>
      <c r="CT99" s="3" t="s">
        <v>201</v>
      </c>
      <c r="CU99" s="3" t="s">
        <v>201</v>
      </c>
      <c r="CV99" s="3" t="s">
        <v>201</v>
      </c>
      <c r="CW99" s="3" t="s">
        <v>201</v>
      </c>
      <c r="CX99" s="3" t="s">
        <v>201</v>
      </c>
      <c r="CY99" s="3" t="s">
        <v>201</v>
      </c>
      <c r="CZ99" s="3" t="s">
        <v>201</v>
      </c>
      <c r="DA99" s="3" t="s">
        <v>201</v>
      </c>
      <c r="DB99" s="3" t="s">
        <v>201</v>
      </c>
      <c r="DC99" s="3" t="s">
        <v>201</v>
      </c>
      <c r="DD99" s="3" t="s">
        <v>201</v>
      </c>
      <c r="DE99" s="3" t="s">
        <v>201</v>
      </c>
      <c r="DF99" s="3" t="s">
        <v>201</v>
      </c>
      <c r="DG99" s="3" t="s">
        <v>201</v>
      </c>
      <c r="DH99" s="3" t="s">
        <v>201</v>
      </c>
      <c r="DI99" s="3" t="s">
        <v>201</v>
      </c>
      <c r="DJ99" s="3" t="s">
        <v>201</v>
      </c>
      <c r="DK99" s="3" t="s">
        <v>201</v>
      </c>
      <c r="DL99" s="3" t="s">
        <v>201</v>
      </c>
      <c r="DM99" s="3" t="s">
        <v>201</v>
      </c>
      <c r="DN99" s="3" t="s">
        <v>201</v>
      </c>
      <c r="DO99" s="3" t="s">
        <v>201</v>
      </c>
      <c r="DP99" s="3" t="s">
        <v>201</v>
      </c>
      <c r="DQ99" s="3" t="s">
        <v>201</v>
      </c>
      <c r="DR99">
        <f t="shared" si="2"/>
        <v>2023</v>
      </c>
    </row>
    <row r="100" spans="1:122" x14ac:dyDescent="0.35">
      <c r="A100" s="1">
        <f t="shared" si="3"/>
        <v>44986</v>
      </c>
      <c r="B100" s="2">
        <v>43</v>
      </c>
      <c r="C100" s="2">
        <v>41</v>
      </c>
      <c r="D100" s="2">
        <v>60</v>
      </c>
      <c r="E100" s="2">
        <v>19</v>
      </c>
      <c r="F100" s="2">
        <v>15</v>
      </c>
      <c r="G100" s="2">
        <v>9</v>
      </c>
      <c r="H100" s="2">
        <v>2</v>
      </c>
      <c r="I100" s="2">
        <v>7</v>
      </c>
      <c r="J100" s="2">
        <v>8</v>
      </c>
      <c r="K100" s="2">
        <v>9</v>
      </c>
      <c r="L100" s="2">
        <v>6</v>
      </c>
      <c r="M100" s="2">
        <v>6</v>
      </c>
      <c r="N100" s="3">
        <v>5</v>
      </c>
      <c r="O100" s="3">
        <v>4</v>
      </c>
      <c r="P100" s="3">
        <v>2</v>
      </c>
      <c r="Q100" s="3">
        <v>4</v>
      </c>
      <c r="R100" s="3">
        <v>6</v>
      </c>
      <c r="S100" s="3">
        <v>3</v>
      </c>
      <c r="T100" s="3">
        <v>1</v>
      </c>
      <c r="U100" s="3">
        <v>0</v>
      </c>
      <c r="V100" s="3">
        <v>2</v>
      </c>
      <c r="W100" s="3">
        <v>1</v>
      </c>
      <c r="X100" s="3" t="s">
        <v>201</v>
      </c>
      <c r="Y100" s="3" t="s">
        <v>201</v>
      </c>
      <c r="Z100" s="3" t="s">
        <v>201</v>
      </c>
      <c r="AA100" s="3" t="s">
        <v>201</v>
      </c>
      <c r="AB100" s="3" t="s">
        <v>201</v>
      </c>
      <c r="AC100" s="3" t="s">
        <v>201</v>
      </c>
      <c r="AD100" s="3" t="s">
        <v>201</v>
      </c>
      <c r="AE100" s="3" t="s">
        <v>201</v>
      </c>
      <c r="AF100" s="3" t="s">
        <v>201</v>
      </c>
      <c r="AG100" s="3" t="s">
        <v>201</v>
      </c>
      <c r="AH100" s="3" t="s">
        <v>201</v>
      </c>
      <c r="AI100" s="3" t="s">
        <v>201</v>
      </c>
      <c r="AJ100" s="3" t="s">
        <v>201</v>
      </c>
      <c r="AK100" s="3" t="s">
        <v>201</v>
      </c>
      <c r="AL100" s="3" t="s">
        <v>201</v>
      </c>
      <c r="AM100" s="3" t="s">
        <v>201</v>
      </c>
      <c r="AN100" s="3" t="s">
        <v>201</v>
      </c>
      <c r="AO100" s="3" t="s">
        <v>201</v>
      </c>
      <c r="AP100" s="3" t="s">
        <v>201</v>
      </c>
      <c r="AQ100" s="3" t="s">
        <v>201</v>
      </c>
      <c r="AR100" s="3" t="s">
        <v>201</v>
      </c>
      <c r="AS100" s="3" t="s">
        <v>201</v>
      </c>
      <c r="AT100" s="3" t="s">
        <v>201</v>
      </c>
      <c r="AU100" s="3" t="s">
        <v>201</v>
      </c>
      <c r="AV100" s="3" t="s">
        <v>201</v>
      </c>
      <c r="AW100" s="3" t="s">
        <v>201</v>
      </c>
      <c r="AX100" s="3" t="s">
        <v>201</v>
      </c>
      <c r="AY100" s="3" t="s">
        <v>201</v>
      </c>
      <c r="AZ100" s="3" t="s">
        <v>201</v>
      </c>
      <c r="BA100" s="3" t="s">
        <v>201</v>
      </c>
      <c r="BB100" s="3" t="s">
        <v>201</v>
      </c>
      <c r="BC100" s="3" t="s">
        <v>201</v>
      </c>
      <c r="BD100" s="3" t="s">
        <v>201</v>
      </c>
      <c r="BE100" s="3" t="s">
        <v>201</v>
      </c>
      <c r="BF100" s="3" t="s">
        <v>201</v>
      </c>
      <c r="BG100" s="3" t="s">
        <v>201</v>
      </c>
      <c r="BH100" s="3" t="s">
        <v>201</v>
      </c>
      <c r="BI100" s="3" t="s">
        <v>201</v>
      </c>
      <c r="BJ100" s="3" t="s">
        <v>201</v>
      </c>
      <c r="BK100" s="3" t="s">
        <v>201</v>
      </c>
      <c r="BL100" s="3" t="s">
        <v>201</v>
      </c>
      <c r="BM100" s="3" t="s">
        <v>201</v>
      </c>
      <c r="BN100" s="3" t="s">
        <v>201</v>
      </c>
      <c r="BO100" s="3" t="s">
        <v>201</v>
      </c>
      <c r="BP100" s="3" t="s">
        <v>201</v>
      </c>
      <c r="BQ100" s="3" t="s">
        <v>201</v>
      </c>
      <c r="BR100" s="3" t="s">
        <v>201</v>
      </c>
      <c r="BS100" s="3" t="s">
        <v>201</v>
      </c>
      <c r="BT100" s="3" t="s">
        <v>201</v>
      </c>
      <c r="BU100" s="3" t="s">
        <v>201</v>
      </c>
      <c r="BV100" s="3" t="s">
        <v>201</v>
      </c>
      <c r="BW100" s="3" t="s">
        <v>201</v>
      </c>
      <c r="BX100" s="3" t="s">
        <v>201</v>
      </c>
      <c r="BY100" s="3" t="s">
        <v>201</v>
      </c>
      <c r="BZ100" s="3" t="s">
        <v>201</v>
      </c>
      <c r="CA100" s="3" t="s">
        <v>201</v>
      </c>
      <c r="CB100" s="3" t="s">
        <v>201</v>
      </c>
      <c r="CC100" s="3" t="s">
        <v>201</v>
      </c>
      <c r="CD100" s="3" t="s">
        <v>201</v>
      </c>
      <c r="CE100" s="3" t="s">
        <v>201</v>
      </c>
      <c r="CF100" s="3" t="s">
        <v>201</v>
      </c>
      <c r="CG100" s="3" t="s">
        <v>201</v>
      </c>
      <c r="CH100" s="3" t="s">
        <v>201</v>
      </c>
      <c r="CI100" s="3" t="s">
        <v>201</v>
      </c>
      <c r="CJ100" s="3" t="s">
        <v>201</v>
      </c>
      <c r="CK100" s="3" t="s">
        <v>201</v>
      </c>
      <c r="CL100" s="3" t="s">
        <v>201</v>
      </c>
      <c r="CM100" s="3" t="s">
        <v>201</v>
      </c>
      <c r="CN100" s="3" t="s">
        <v>201</v>
      </c>
      <c r="CO100" s="3" t="s">
        <v>201</v>
      </c>
      <c r="CP100" s="3" t="s">
        <v>201</v>
      </c>
      <c r="CQ100" s="3" t="s">
        <v>201</v>
      </c>
      <c r="CR100" s="3" t="s">
        <v>201</v>
      </c>
      <c r="CS100" s="3" t="s">
        <v>201</v>
      </c>
      <c r="CT100" s="3" t="s">
        <v>201</v>
      </c>
      <c r="CU100" s="3" t="s">
        <v>201</v>
      </c>
      <c r="CV100" s="3" t="s">
        <v>201</v>
      </c>
      <c r="CW100" s="3" t="s">
        <v>201</v>
      </c>
      <c r="CX100" s="3" t="s">
        <v>201</v>
      </c>
      <c r="CY100" s="3" t="s">
        <v>201</v>
      </c>
      <c r="CZ100" s="3" t="s">
        <v>201</v>
      </c>
      <c r="DA100" s="3" t="s">
        <v>201</v>
      </c>
      <c r="DB100" s="3" t="s">
        <v>201</v>
      </c>
      <c r="DC100" s="3" t="s">
        <v>201</v>
      </c>
      <c r="DD100" s="3" t="s">
        <v>201</v>
      </c>
      <c r="DE100" s="3" t="s">
        <v>201</v>
      </c>
      <c r="DF100" s="3" t="s">
        <v>201</v>
      </c>
      <c r="DG100" s="3" t="s">
        <v>201</v>
      </c>
      <c r="DH100" s="3" t="s">
        <v>201</v>
      </c>
      <c r="DI100" s="3" t="s">
        <v>201</v>
      </c>
      <c r="DJ100" s="3" t="s">
        <v>201</v>
      </c>
      <c r="DK100" s="3" t="s">
        <v>201</v>
      </c>
      <c r="DL100" s="3" t="s">
        <v>201</v>
      </c>
      <c r="DM100" s="3" t="s">
        <v>201</v>
      </c>
      <c r="DN100" s="3" t="s">
        <v>201</v>
      </c>
      <c r="DO100" s="3" t="s">
        <v>201</v>
      </c>
      <c r="DP100" s="3" t="s">
        <v>201</v>
      </c>
      <c r="DQ100" s="3" t="s">
        <v>201</v>
      </c>
      <c r="DR100">
        <f t="shared" si="2"/>
        <v>2023</v>
      </c>
    </row>
    <row r="101" spans="1:122" x14ac:dyDescent="0.35">
      <c r="A101" s="1">
        <f t="shared" si="3"/>
        <v>45017</v>
      </c>
      <c r="B101" s="2">
        <v>52</v>
      </c>
      <c r="C101" s="2">
        <v>54</v>
      </c>
      <c r="D101" s="2">
        <v>34</v>
      </c>
      <c r="E101" s="2">
        <v>24</v>
      </c>
      <c r="F101" s="2">
        <v>19</v>
      </c>
      <c r="G101" s="2">
        <v>11</v>
      </c>
      <c r="H101" s="2">
        <v>10</v>
      </c>
      <c r="I101" s="2">
        <v>16</v>
      </c>
      <c r="J101" s="2">
        <v>11</v>
      </c>
      <c r="K101" s="2">
        <v>4</v>
      </c>
      <c r="L101" s="2">
        <v>8</v>
      </c>
      <c r="M101" s="2">
        <v>7</v>
      </c>
      <c r="N101" s="3">
        <v>9</v>
      </c>
      <c r="O101" s="3">
        <v>7</v>
      </c>
      <c r="P101" s="3">
        <v>4</v>
      </c>
      <c r="Q101" s="3">
        <v>5</v>
      </c>
      <c r="R101" s="3">
        <v>2</v>
      </c>
      <c r="S101" s="3">
        <v>4</v>
      </c>
      <c r="T101" s="3">
        <v>2</v>
      </c>
      <c r="U101" s="3">
        <v>2</v>
      </c>
      <c r="V101" s="3">
        <v>1</v>
      </c>
      <c r="W101" s="3" t="s">
        <v>201</v>
      </c>
      <c r="X101" s="3" t="s">
        <v>201</v>
      </c>
      <c r="Y101" s="3" t="s">
        <v>201</v>
      </c>
      <c r="Z101" s="3" t="s">
        <v>201</v>
      </c>
      <c r="AA101" s="3" t="s">
        <v>201</v>
      </c>
      <c r="AB101" s="3" t="s">
        <v>201</v>
      </c>
      <c r="AC101" s="3" t="s">
        <v>201</v>
      </c>
      <c r="AD101" s="3" t="s">
        <v>201</v>
      </c>
      <c r="AE101" s="3" t="s">
        <v>201</v>
      </c>
      <c r="AF101" s="3" t="s">
        <v>201</v>
      </c>
      <c r="AG101" s="3" t="s">
        <v>201</v>
      </c>
      <c r="AH101" s="3" t="s">
        <v>201</v>
      </c>
      <c r="AI101" s="3" t="s">
        <v>201</v>
      </c>
      <c r="AJ101" s="3" t="s">
        <v>201</v>
      </c>
      <c r="AK101" s="3" t="s">
        <v>201</v>
      </c>
      <c r="AL101" s="3" t="s">
        <v>201</v>
      </c>
      <c r="AM101" s="3" t="s">
        <v>201</v>
      </c>
      <c r="AN101" s="3" t="s">
        <v>201</v>
      </c>
      <c r="AO101" s="3" t="s">
        <v>201</v>
      </c>
      <c r="AP101" s="3" t="s">
        <v>201</v>
      </c>
      <c r="AQ101" s="3" t="s">
        <v>201</v>
      </c>
      <c r="AR101" s="3" t="s">
        <v>201</v>
      </c>
      <c r="AS101" s="3" t="s">
        <v>201</v>
      </c>
      <c r="AT101" s="3" t="s">
        <v>201</v>
      </c>
      <c r="AU101" s="3" t="s">
        <v>201</v>
      </c>
      <c r="AV101" s="3" t="s">
        <v>201</v>
      </c>
      <c r="AW101" s="3" t="s">
        <v>201</v>
      </c>
      <c r="AX101" s="3" t="s">
        <v>201</v>
      </c>
      <c r="AY101" s="3" t="s">
        <v>201</v>
      </c>
      <c r="AZ101" s="3" t="s">
        <v>201</v>
      </c>
      <c r="BA101" s="3" t="s">
        <v>201</v>
      </c>
      <c r="BB101" s="3" t="s">
        <v>201</v>
      </c>
      <c r="BC101" s="3" t="s">
        <v>201</v>
      </c>
      <c r="BD101" s="3" t="s">
        <v>201</v>
      </c>
      <c r="BE101" s="3" t="s">
        <v>201</v>
      </c>
      <c r="BF101" s="3" t="s">
        <v>201</v>
      </c>
      <c r="BG101" s="3" t="s">
        <v>201</v>
      </c>
      <c r="BH101" s="3" t="s">
        <v>201</v>
      </c>
      <c r="BI101" s="3" t="s">
        <v>201</v>
      </c>
      <c r="BJ101" s="3" t="s">
        <v>201</v>
      </c>
      <c r="BK101" s="3" t="s">
        <v>201</v>
      </c>
      <c r="BL101" s="3" t="s">
        <v>201</v>
      </c>
      <c r="BM101" s="3" t="s">
        <v>201</v>
      </c>
      <c r="BN101" s="3" t="s">
        <v>201</v>
      </c>
      <c r="BO101" s="3" t="s">
        <v>201</v>
      </c>
      <c r="BP101" s="3" t="s">
        <v>201</v>
      </c>
      <c r="BQ101" s="3" t="s">
        <v>201</v>
      </c>
      <c r="BR101" s="3" t="s">
        <v>201</v>
      </c>
      <c r="BS101" s="3" t="s">
        <v>201</v>
      </c>
      <c r="BT101" s="3" t="s">
        <v>201</v>
      </c>
      <c r="BU101" s="3" t="s">
        <v>201</v>
      </c>
      <c r="BV101" s="3" t="s">
        <v>201</v>
      </c>
      <c r="BW101" s="3" t="s">
        <v>201</v>
      </c>
      <c r="BX101" s="3" t="s">
        <v>201</v>
      </c>
      <c r="BY101" s="3" t="s">
        <v>201</v>
      </c>
      <c r="BZ101" s="3" t="s">
        <v>201</v>
      </c>
      <c r="CA101" s="3" t="s">
        <v>201</v>
      </c>
      <c r="CB101" s="3" t="s">
        <v>201</v>
      </c>
      <c r="CC101" s="3" t="s">
        <v>201</v>
      </c>
      <c r="CD101" s="3" t="s">
        <v>201</v>
      </c>
      <c r="CE101" s="3" t="s">
        <v>201</v>
      </c>
      <c r="CF101" s="3" t="s">
        <v>201</v>
      </c>
      <c r="CG101" s="3" t="s">
        <v>201</v>
      </c>
      <c r="CH101" s="3" t="s">
        <v>201</v>
      </c>
      <c r="CI101" s="3" t="s">
        <v>201</v>
      </c>
      <c r="CJ101" s="3" t="s">
        <v>201</v>
      </c>
      <c r="CK101" s="3" t="s">
        <v>201</v>
      </c>
      <c r="CL101" s="3" t="s">
        <v>201</v>
      </c>
      <c r="CM101" s="3" t="s">
        <v>201</v>
      </c>
      <c r="CN101" s="3" t="s">
        <v>201</v>
      </c>
      <c r="CO101" s="3" t="s">
        <v>201</v>
      </c>
      <c r="CP101" s="3" t="s">
        <v>201</v>
      </c>
      <c r="CQ101" s="3" t="s">
        <v>201</v>
      </c>
      <c r="CR101" s="3" t="s">
        <v>201</v>
      </c>
      <c r="CS101" s="3" t="s">
        <v>201</v>
      </c>
      <c r="CT101" s="3" t="s">
        <v>201</v>
      </c>
      <c r="CU101" s="3" t="s">
        <v>201</v>
      </c>
      <c r="CV101" s="3" t="s">
        <v>201</v>
      </c>
      <c r="CW101" s="3" t="s">
        <v>201</v>
      </c>
      <c r="CX101" s="3" t="s">
        <v>201</v>
      </c>
      <c r="CY101" s="3" t="s">
        <v>201</v>
      </c>
      <c r="CZ101" s="3" t="s">
        <v>201</v>
      </c>
      <c r="DA101" s="3" t="s">
        <v>201</v>
      </c>
      <c r="DB101" s="3" t="s">
        <v>201</v>
      </c>
      <c r="DC101" s="3" t="s">
        <v>201</v>
      </c>
      <c r="DD101" s="3" t="s">
        <v>201</v>
      </c>
      <c r="DE101" s="3" t="s">
        <v>201</v>
      </c>
      <c r="DF101" s="3" t="s">
        <v>201</v>
      </c>
      <c r="DG101" s="3" t="s">
        <v>201</v>
      </c>
      <c r="DH101" s="3" t="s">
        <v>201</v>
      </c>
      <c r="DI101" s="3" t="s">
        <v>201</v>
      </c>
      <c r="DJ101" s="3" t="s">
        <v>201</v>
      </c>
      <c r="DK101" s="3" t="s">
        <v>201</v>
      </c>
      <c r="DL101" s="3" t="s">
        <v>201</v>
      </c>
      <c r="DM101" s="3" t="s">
        <v>201</v>
      </c>
      <c r="DN101" s="3" t="s">
        <v>201</v>
      </c>
      <c r="DO101" s="3" t="s">
        <v>201</v>
      </c>
      <c r="DP101" s="3" t="s">
        <v>201</v>
      </c>
      <c r="DQ101" s="3" t="s">
        <v>201</v>
      </c>
      <c r="DR101">
        <f t="shared" si="2"/>
        <v>2023</v>
      </c>
    </row>
    <row r="102" spans="1:122" x14ac:dyDescent="0.35">
      <c r="A102" s="1">
        <f t="shared" si="3"/>
        <v>45047</v>
      </c>
      <c r="B102" s="2">
        <v>60</v>
      </c>
      <c r="C102" s="2">
        <v>41</v>
      </c>
      <c r="D102" s="2">
        <v>48</v>
      </c>
      <c r="E102" s="2">
        <v>23</v>
      </c>
      <c r="F102" s="2">
        <v>13</v>
      </c>
      <c r="G102" s="2">
        <v>12</v>
      </c>
      <c r="H102" s="2">
        <v>12</v>
      </c>
      <c r="I102" s="2">
        <v>6</v>
      </c>
      <c r="J102" s="2">
        <v>15</v>
      </c>
      <c r="K102" s="2">
        <v>11</v>
      </c>
      <c r="L102" s="2">
        <v>10</v>
      </c>
      <c r="M102" s="2">
        <v>11</v>
      </c>
      <c r="N102" s="3">
        <v>9</v>
      </c>
      <c r="O102" s="3">
        <v>5</v>
      </c>
      <c r="P102" s="3">
        <v>3</v>
      </c>
      <c r="Q102" s="3">
        <v>1</v>
      </c>
      <c r="R102" s="3">
        <v>4</v>
      </c>
      <c r="S102" s="3">
        <v>2</v>
      </c>
      <c r="T102" s="3">
        <v>1</v>
      </c>
      <c r="U102" s="3">
        <v>1</v>
      </c>
      <c r="V102" s="3" t="s">
        <v>201</v>
      </c>
      <c r="W102" s="3" t="s">
        <v>201</v>
      </c>
      <c r="X102" s="3" t="s">
        <v>201</v>
      </c>
      <c r="Y102" s="3" t="s">
        <v>201</v>
      </c>
      <c r="Z102" s="3" t="s">
        <v>201</v>
      </c>
      <c r="AA102" s="3" t="s">
        <v>201</v>
      </c>
      <c r="AB102" s="3" t="s">
        <v>201</v>
      </c>
      <c r="AC102" s="3" t="s">
        <v>201</v>
      </c>
      <c r="AD102" s="3" t="s">
        <v>201</v>
      </c>
      <c r="AE102" s="3" t="s">
        <v>201</v>
      </c>
      <c r="AF102" s="3" t="s">
        <v>201</v>
      </c>
      <c r="AG102" s="3" t="s">
        <v>201</v>
      </c>
      <c r="AH102" s="3" t="s">
        <v>201</v>
      </c>
      <c r="AI102" s="3" t="s">
        <v>201</v>
      </c>
      <c r="AJ102" s="3" t="s">
        <v>201</v>
      </c>
      <c r="AK102" s="3" t="s">
        <v>201</v>
      </c>
      <c r="AL102" s="3" t="s">
        <v>201</v>
      </c>
      <c r="AM102" s="3" t="s">
        <v>201</v>
      </c>
      <c r="AN102" s="3" t="s">
        <v>201</v>
      </c>
      <c r="AO102" s="3" t="s">
        <v>201</v>
      </c>
      <c r="AP102" s="3" t="s">
        <v>201</v>
      </c>
      <c r="AQ102" s="3" t="s">
        <v>201</v>
      </c>
      <c r="AR102" s="3" t="s">
        <v>201</v>
      </c>
      <c r="AS102" s="3" t="s">
        <v>201</v>
      </c>
      <c r="AT102" s="3" t="s">
        <v>201</v>
      </c>
      <c r="AU102" s="3" t="s">
        <v>201</v>
      </c>
      <c r="AV102" s="3" t="s">
        <v>201</v>
      </c>
      <c r="AW102" s="3" t="s">
        <v>201</v>
      </c>
      <c r="AX102" s="3" t="s">
        <v>201</v>
      </c>
      <c r="AY102" s="3" t="s">
        <v>201</v>
      </c>
      <c r="AZ102" s="3" t="s">
        <v>201</v>
      </c>
      <c r="BA102" s="3" t="s">
        <v>201</v>
      </c>
      <c r="BB102" s="3" t="s">
        <v>201</v>
      </c>
      <c r="BC102" s="3" t="s">
        <v>201</v>
      </c>
      <c r="BD102" s="3" t="s">
        <v>201</v>
      </c>
      <c r="BE102" s="3" t="s">
        <v>201</v>
      </c>
      <c r="BF102" s="3" t="s">
        <v>201</v>
      </c>
      <c r="BG102" s="3" t="s">
        <v>201</v>
      </c>
      <c r="BH102" s="3" t="s">
        <v>201</v>
      </c>
      <c r="BI102" s="3" t="s">
        <v>201</v>
      </c>
      <c r="BJ102" s="3" t="s">
        <v>201</v>
      </c>
      <c r="BK102" s="3" t="s">
        <v>201</v>
      </c>
      <c r="BL102" s="3" t="s">
        <v>201</v>
      </c>
      <c r="BM102" s="3" t="s">
        <v>201</v>
      </c>
      <c r="BN102" s="3" t="s">
        <v>201</v>
      </c>
      <c r="BO102" s="3" t="s">
        <v>201</v>
      </c>
      <c r="BP102" s="3" t="s">
        <v>201</v>
      </c>
      <c r="BQ102" s="3" t="s">
        <v>201</v>
      </c>
      <c r="BR102" s="3" t="s">
        <v>201</v>
      </c>
      <c r="BS102" s="3" t="s">
        <v>201</v>
      </c>
      <c r="BT102" s="3" t="s">
        <v>201</v>
      </c>
      <c r="BU102" s="3" t="s">
        <v>201</v>
      </c>
      <c r="BV102" s="3" t="s">
        <v>201</v>
      </c>
      <c r="BW102" s="3" t="s">
        <v>201</v>
      </c>
      <c r="BX102" s="3" t="s">
        <v>201</v>
      </c>
      <c r="BY102" s="3" t="s">
        <v>201</v>
      </c>
      <c r="BZ102" s="3" t="s">
        <v>201</v>
      </c>
      <c r="CA102" s="3" t="s">
        <v>201</v>
      </c>
      <c r="CB102" s="3" t="s">
        <v>201</v>
      </c>
      <c r="CC102" s="3" t="s">
        <v>201</v>
      </c>
      <c r="CD102" s="3" t="s">
        <v>201</v>
      </c>
      <c r="CE102" s="3" t="s">
        <v>201</v>
      </c>
      <c r="CF102" s="3" t="s">
        <v>201</v>
      </c>
      <c r="CG102" s="3" t="s">
        <v>201</v>
      </c>
      <c r="CH102" s="3" t="s">
        <v>201</v>
      </c>
      <c r="CI102" s="3" t="s">
        <v>201</v>
      </c>
      <c r="CJ102" s="3" t="s">
        <v>201</v>
      </c>
      <c r="CK102" s="3" t="s">
        <v>201</v>
      </c>
      <c r="CL102" s="3" t="s">
        <v>201</v>
      </c>
      <c r="CM102" s="3" t="s">
        <v>201</v>
      </c>
      <c r="CN102" s="3" t="s">
        <v>201</v>
      </c>
      <c r="CO102" s="3" t="s">
        <v>201</v>
      </c>
      <c r="CP102" s="3" t="s">
        <v>201</v>
      </c>
      <c r="CQ102" s="3" t="s">
        <v>201</v>
      </c>
      <c r="CR102" s="3" t="s">
        <v>201</v>
      </c>
      <c r="CS102" s="3" t="s">
        <v>201</v>
      </c>
      <c r="CT102" s="3" t="s">
        <v>201</v>
      </c>
      <c r="CU102" s="3" t="s">
        <v>201</v>
      </c>
      <c r="CV102" s="3" t="s">
        <v>201</v>
      </c>
      <c r="CW102" s="3" t="s">
        <v>201</v>
      </c>
      <c r="CX102" s="3" t="s">
        <v>201</v>
      </c>
      <c r="CY102" s="3" t="s">
        <v>201</v>
      </c>
      <c r="CZ102" s="3" t="s">
        <v>201</v>
      </c>
      <c r="DA102" s="3" t="s">
        <v>201</v>
      </c>
      <c r="DB102" s="3" t="s">
        <v>201</v>
      </c>
      <c r="DC102" s="3" t="s">
        <v>201</v>
      </c>
      <c r="DD102" s="3" t="s">
        <v>201</v>
      </c>
      <c r="DE102" s="3" t="s">
        <v>201</v>
      </c>
      <c r="DF102" s="3" t="s">
        <v>201</v>
      </c>
      <c r="DG102" s="3" t="s">
        <v>201</v>
      </c>
      <c r="DH102" s="3" t="s">
        <v>201</v>
      </c>
      <c r="DI102" s="3" t="s">
        <v>201</v>
      </c>
      <c r="DJ102" s="3" t="s">
        <v>201</v>
      </c>
      <c r="DK102" s="3" t="s">
        <v>201</v>
      </c>
      <c r="DL102" s="3" t="s">
        <v>201</v>
      </c>
      <c r="DM102" s="3" t="s">
        <v>201</v>
      </c>
      <c r="DN102" s="3" t="s">
        <v>201</v>
      </c>
      <c r="DO102" s="3" t="s">
        <v>201</v>
      </c>
      <c r="DP102" s="3" t="s">
        <v>201</v>
      </c>
      <c r="DQ102" s="3" t="s">
        <v>201</v>
      </c>
      <c r="DR102">
        <f t="shared" si="2"/>
        <v>2023</v>
      </c>
    </row>
    <row r="103" spans="1:122" x14ac:dyDescent="0.35">
      <c r="A103" s="1">
        <f t="shared" si="3"/>
        <v>45078</v>
      </c>
      <c r="B103" s="2">
        <v>49</v>
      </c>
      <c r="C103" s="2">
        <v>24</v>
      </c>
      <c r="D103" s="2">
        <v>15</v>
      </c>
      <c r="E103" s="2">
        <v>13</v>
      </c>
      <c r="F103" s="2">
        <v>14</v>
      </c>
      <c r="G103" s="2">
        <v>9</v>
      </c>
      <c r="H103" s="2">
        <v>8</v>
      </c>
      <c r="I103" s="2">
        <v>5</v>
      </c>
      <c r="J103" s="2">
        <v>9</v>
      </c>
      <c r="K103" s="2">
        <v>9</v>
      </c>
      <c r="L103" s="2">
        <v>8</v>
      </c>
      <c r="M103" s="2">
        <v>7</v>
      </c>
      <c r="N103" s="3">
        <v>2</v>
      </c>
      <c r="O103" s="3">
        <v>9</v>
      </c>
      <c r="P103" s="3">
        <v>6</v>
      </c>
      <c r="Q103" s="3">
        <v>4</v>
      </c>
      <c r="R103" s="3">
        <v>2</v>
      </c>
      <c r="S103" s="3">
        <v>0</v>
      </c>
      <c r="T103" s="3">
        <v>0</v>
      </c>
      <c r="U103" s="3" t="s">
        <v>201</v>
      </c>
      <c r="V103" s="3" t="s">
        <v>201</v>
      </c>
      <c r="W103" s="3" t="s">
        <v>201</v>
      </c>
      <c r="X103" s="3" t="s">
        <v>201</v>
      </c>
      <c r="Y103" s="3" t="s">
        <v>201</v>
      </c>
      <c r="Z103" s="3" t="s">
        <v>201</v>
      </c>
      <c r="AA103" s="3" t="s">
        <v>201</v>
      </c>
      <c r="AB103" s="3" t="s">
        <v>201</v>
      </c>
      <c r="AC103" s="3" t="s">
        <v>201</v>
      </c>
      <c r="AD103" s="3" t="s">
        <v>201</v>
      </c>
      <c r="AE103" s="3" t="s">
        <v>201</v>
      </c>
      <c r="AF103" s="3" t="s">
        <v>201</v>
      </c>
      <c r="AG103" s="3" t="s">
        <v>201</v>
      </c>
      <c r="AH103" s="3" t="s">
        <v>201</v>
      </c>
      <c r="AI103" s="3" t="s">
        <v>201</v>
      </c>
      <c r="AJ103" s="3" t="s">
        <v>201</v>
      </c>
      <c r="AK103" s="3" t="s">
        <v>201</v>
      </c>
      <c r="AL103" s="3" t="s">
        <v>201</v>
      </c>
      <c r="AM103" s="3" t="s">
        <v>201</v>
      </c>
      <c r="AN103" s="3" t="s">
        <v>201</v>
      </c>
      <c r="AO103" s="3" t="s">
        <v>201</v>
      </c>
      <c r="AP103" s="3" t="s">
        <v>201</v>
      </c>
      <c r="AQ103" s="3" t="s">
        <v>201</v>
      </c>
      <c r="AR103" s="3" t="s">
        <v>201</v>
      </c>
      <c r="AS103" s="3" t="s">
        <v>201</v>
      </c>
      <c r="AT103" s="3" t="s">
        <v>201</v>
      </c>
      <c r="AU103" s="3" t="s">
        <v>201</v>
      </c>
      <c r="AV103" s="3" t="s">
        <v>201</v>
      </c>
      <c r="AW103" s="3" t="s">
        <v>201</v>
      </c>
      <c r="AX103" s="3" t="s">
        <v>201</v>
      </c>
      <c r="AY103" s="3" t="s">
        <v>201</v>
      </c>
      <c r="AZ103" s="3" t="s">
        <v>201</v>
      </c>
      <c r="BA103" s="3" t="s">
        <v>201</v>
      </c>
      <c r="BB103" s="3" t="s">
        <v>201</v>
      </c>
      <c r="BC103" s="3" t="s">
        <v>201</v>
      </c>
      <c r="BD103" s="3" t="s">
        <v>201</v>
      </c>
      <c r="BE103" s="3" t="s">
        <v>201</v>
      </c>
      <c r="BF103" s="3" t="s">
        <v>201</v>
      </c>
      <c r="BG103" s="3" t="s">
        <v>201</v>
      </c>
      <c r="BH103" s="3" t="s">
        <v>201</v>
      </c>
      <c r="BI103" s="3" t="s">
        <v>201</v>
      </c>
      <c r="BJ103" s="3" t="s">
        <v>201</v>
      </c>
      <c r="BK103" s="3" t="s">
        <v>201</v>
      </c>
      <c r="BL103" s="3" t="s">
        <v>201</v>
      </c>
      <c r="BM103" s="3" t="s">
        <v>201</v>
      </c>
      <c r="BN103" s="3" t="s">
        <v>201</v>
      </c>
      <c r="BO103" s="3" t="s">
        <v>201</v>
      </c>
      <c r="BP103" s="3" t="s">
        <v>201</v>
      </c>
      <c r="BQ103" s="3" t="s">
        <v>201</v>
      </c>
      <c r="BR103" s="3" t="s">
        <v>201</v>
      </c>
      <c r="BS103" s="3" t="s">
        <v>201</v>
      </c>
      <c r="BT103" s="3" t="s">
        <v>201</v>
      </c>
      <c r="BU103" s="3" t="s">
        <v>201</v>
      </c>
      <c r="BV103" s="3" t="s">
        <v>201</v>
      </c>
      <c r="BW103" s="3" t="s">
        <v>201</v>
      </c>
      <c r="BX103" s="3" t="s">
        <v>201</v>
      </c>
      <c r="BY103" s="3" t="s">
        <v>201</v>
      </c>
      <c r="BZ103" s="3" t="s">
        <v>201</v>
      </c>
      <c r="CA103" s="3" t="s">
        <v>201</v>
      </c>
      <c r="CB103" s="3" t="s">
        <v>201</v>
      </c>
      <c r="CC103" s="3" t="s">
        <v>201</v>
      </c>
      <c r="CD103" s="3" t="s">
        <v>201</v>
      </c>
      <c r="CE103" s="3" t="s">
        <v>201</v>
      </c>
      <c r="CF103" s="3" t="s">
        <v>201</v>
      </c>
      <c r="CG103" s="3" t="s">
        <v>201</v>
      </c>
      <c r="CH103" s="3" t="s">
        <v>201</v>
      </c>
      <c r="CI103" s="3" t="s">
        <v>201</v>
      </c>
      <c r="CJ103" s="3" t="s">
        <v>201</v>
      </c>
      <c r="CK103" s="3" t="s">
        <v>201</v>
      </c>
      <c r="CL103" s="3" t="s">
        <v>201</v>
      </c>
      <c r="CM103" s="3" t="s">
        <v>201</v>
      </c>
      <c r="CN103" s="3" t="s">
        <v>201</v>
      </c>
      <c r="CO103" s="3" t="s">
        <v>201</v>
      </c>
      <c r="CP103" s="3" t="s">
        <v>201</v>
      </c>
      <c r="CQ103" s="3" t="s">
        <v>201</v>
      </c>
      <c r="CR103" s="3" t="s">
        <v>201</v>
      </c>
      <c r="CS103" s="3" t="s">
        <v>201</v>
      </c>
      <c r="CT103" s="3" t="s">
        <v>201</v>
      </c>
      <c r="CU103" s="3" t="s">
        <v>201</v>
      </c>
      <c r="CV103" s="3" t="s">
        <v>201</v>
      </c>
      <c r="CW103" s="3" t="s">
        <v>201</v>
      </c>
      <c r="CX103" s="3" t="s">
        <v>201</v>
      </c>
      <c r="CY103" s="3" t="s">
        <v>201</v>
      </c>
      <c r="CZ103" s="3" t="s">
        <v>201</v>
      </c>
      <c r="DA103" s="3" t="s">
        <v>201</v>
      </c>
      <c r="DB103" s="3" t="s">
        <v>201</v>
      </c>
      <c r="DC103" s="3" t="s">
        <v>201</v>
      </c>
      <c r="DD103" s="3" t="s">
        <v>201</v>
      </c>
      <c r="DE103" s="3" t="s">
        <v>201</v>
      </c>
      <c r="DF103" s="3" t="s">
        <v>201</v>
      </c>
      <c r="DG103" s="3" t="s">
        <v>201</v>
      </c>
      <c r="DH103" s="3" t="s">
        <v>201</v>
      </c>
      <c r="DI103" s="3" t="s">
        <v>201</v>
      </c>
      <c r="DJ103" s="3" t="s">
        <v>201</v>
      </c>
      <c r="DK103" s="3" t="s">
        <v>201</v>
      </c>
      <c r="DL103" s="3" t="s">
        <v>201</v>
      </c>
      <c r="DM103" s="3" t="s">
        <v>201</v>
      </c>
      <c r="DN103" s="3" t="s">
        <v>201</v>
      </c>
      <c r="DO103" s="3" t="s">
        <v>201</v>
      </c>
      <c r="DP103" s="3" t="s">
        <v>201</v>
      </c>
      <c r="DQ103" s="3" t="s">
        <v>201</v>
      </c>
      <c r="DR103">
        <f t="shared" si="2"/>
        <v>2023</v>
      </c>
    </row>
    <row r="104" spans="1:122" x14ac:dyDescent="0.35">
      <c r="A104" s="1">
        <f t="shared" si="3"/>
        <v>45108</v>
      </c>
      <c r="B104" s="2">
        <v>43</v>
      </c>
      <c r="C104" s="2">
        <v>26</v>
      </c>
      <c r="D104" s="2">
        <v>25</v>
      </c>
      <c r="E104" s="2">
        <v>15</v>
      </c>
      <c r="F104" s="2">
        <v>7</v>
      </c>
      <c r="G104" s="2">
        <v>9</v>
      </c>
      <c r="H104" s="2">
        <v>11</v>
      </c>
      <c r="I104" s="2">
        <v>6</v>
      </c>
      <c r="J104" s="2">
        <v>5</v>
      </c>
      <c r="K104" s="2">
        <v>3</v>
      </c>
      <c r="L104" s="2">
        <v>4</v>
      </c>
      <c r="M104" s="2">
        <v>7</v>
      </c>
      <c r="N104" s="3">
        <v>2</v>
      </c>
      <c r="O104" s="3">
        <v>4</v>
      </c>
      <c r="P104" s="3">
        <v>3</v>
      </c>
      <c r="Q104" s="3">
        <v>3</v>
      </c>
      <c r="R104" s="3">
        <v>1</v>
      </c>
      <c r="S104" s="3">
        <v>0</v>
      </c>
      <c r="T104" s="3" t="s">
        <v>201</v>
      </c>
      <c r="U104" s="3" t="s">
        <v>201</v>
      </c>
      <c r="V104" s="3" t="s">
        <v>201</v>
      </c>
      <c r="W104" s="3" t="s">
        <v>201</v>
      </c>
      <c r="X104" s="3" t="s">
        <v>201</v>
      </c>
      <c r="Y104" s="3" t="s">
        <v>201</v>
      </c>
      <c r="Z104" s="3" t="s">
        <v>201</v>
      </c>
      <c r="AA104" s="3" t="s">
        <v>201</v>
      </c>
      <c r="AB104" s="3" t="s">
        <v>201</v>
      </c>
      <c r="AC104" s="3" t="s">
        <v>201</v>
      </c>
      <c r="AD104" s="3" t="s">
        <v>201</v>
      </c>
      <c r="AE104" s="3" t="s">
        <v>201</v>
      </c>
      <c r="AF104" s="3" t="s">
        <v>201</v>
      </c>
      <c r="AG104" s="3" t="s">
        <v>201</v>
      </c>
      <c r="AH104" s="3" t="s">
        <v>201</v>
      </c>
      <c r="AI104" s="3" t="s">
        <v>201</v>
      </c>
      <c r="AJ104" s="3" t="s">
        <v>201</v>
      </c>
      <c r="AK104" s="3" t="s">
        <v>201</v>
      </c>
      <c r="AL104" s="3" t="s">
        <v>201</v>
      </c>
      <c r="AM104" s="3" t="s">
        <v>201</v>
      </c>
      <c r="AN104" s="3" t="s">
        <v>201</v>
      </c>
      <c r="AO104" s="3" t="s">
        <v>201</v>
      </c>
      <c r="AP104" s="3" t="s">
        <v>201</v>
      </c>
      <c r="AQ104" s="3" t="s">
        <v>201</v>
      </c>
      <c r="AR104" s="3" t="s">
        <v>201</v>
      </c>
      <c r="AS104" s="3" t="s">
        <v>201</v>
      </c>
      <c r="AT104" s="3" t="s">
        <v>201</v>
      </c>
      <c r="AU104" s="3" t="s">
        <v>201</v>
      </c>
      <c r="AV104" s="3" t="s">
        <v>201</v>
      </c>
      <c r="AW104" s="3" t="s">
        <v>201</v>
      </c>
      <c r="AX104" s="3" t="s">
        <v>201</v>
      </c>
      <c r="AY104" s="3" t="s">
        <v>201</v>
      </c>
      <c r="AZ104" s="3" t="s">
        <v>201</v>
      </c>
      <c r="BA104" s="3" t="s">
        <v>201</v>
      </c>
      <c r="BB104" s="3" t="s">
        <v>201</v>
      </c>
      <c r="BC104" s="3" t="s">
        <v>201</v>
      </c>
      <c r="BD104" s="3" t="s">
        <v>201</v>
      </c>
      <c r="BE104" s="3" t="s">
        <v>201</v>
      </c>
      <c r="BF104" s="3" t="s">
        <v>201</v>
      </c>
      <c r="BG104" s="3" t="s">
        <v>201</v>
      </c>
      <c r="BH104" s="3" t="s">
        <v>201</v>
      </c>
      <c r="BI104" s="3" t="s">
        <v>201</v>
      </c>
      <c r="BJ104" s="3" t="s">
        <v>201</v>
      </c>
      <c r="BK104" s="3" t="s">
        <v>201</v>
      </c>
      <c r="BL104" s="3" t="s">
        <v>201</v>
      </c>
      <c r="BM104" s="3" t="s">
        <v>201</v>
      </c>
      <c r="BN104" s="3" t="s">
        <v>201</v>
      </c>
      <c r="BO104" s="3" t="s">
        <v>201</v>
      </c>
      <c r="BP104" s="3" t="s">
        <v>201</v>
      </c>
      <c r="BQ104" s="3" t="s">
        <v>201</v>
      </c>
      <c r="BR104" s="3" t="s">
        <v>201</v>
      </c>
      <c r="BS104" s="3" t="s">
        <v>201</v>
      </c>
      <c r="BT104" s="3" t="s">
        <v>201</v>
      </c>
      <c r="BU104" s="3" t="s">
        <v>201</v>
      </c>
      <c r="BV104" s="3" t="s">
        <v>201</v>
      </c>
      <c r="BW104" s="3" t="s">
        <v>201</v>
      </c>
      <c r="BX104" s="3" t="s">
        <v>201</v>
      </c>
      <c r="BY104" s="3" t="s">
        <v>201</v>
      </c>
      <c r="BZ104" s="3" t="s">
        <v>201</v>
      </c>
      <c r="CA104" s="3" t="s">
        <v>201</v>
      </c>
      <c r="CB104" s="3" t="s">
        <v>201</v>
      </c>
      <c r="CC104" s="3" t="s">
        <v>201</v>
      </c>
      <c r="CD104" s="3" t="s">
        <v>201</v>
      </c>
      <c r="CE104" s="3" t="s">
        <v>201</v>
      </c>
      <c r="CF104" s="3" t="s">
        <v>201</v>
      </c>
      <c r="CG104" s="3" t="s">
        <v>201</v>
      </c>
      <c r="CH104" s="3" t="s">
        <v>201</v>
      </c>
      <c r="CI104" s="3" t="s">
        <v>201</v>
      </c>
      <c r="CJ104" s="3" t="s">
        <v>201</v>
      </c>
      <c r="CK104" s="3" t="s">
        <v>201</v>
      </c>
      <c r="CL104" s="3" t="s">
        <v>201</v>
      </c>
      <c r="CM104" s="3" t="s">
        <v>201</v>
      </c>
      <c r="CN104" s="3" t="s">
        <v>201</v>
      </c>
      <c r="CO104" s="3" t="s">
        <v>201</v>
      </c>
      <c r="CP104" s="3" t="s">
        <v>201</v>
      </c>
      <c r="CQ104" s="3" t="s">
        <v>201</v>
      </c>
      <c r="CR104" s="3" t="s">
        <v>201</v>
      </c>
      <c r="CS104" s="3" t="s">
        <v>201</v>
      </c>
      <c r="CT104" s="3" t="s">
        <v>201</v>
      </c>
      <c r="CU104" s="3" t="s">
        <v>201</v>
      </c>
      <c r="CV104" s="3" t="s">
        <v>201</v>
      </c>
      <c r="CW104" s="3" t="s">
        <v>201</v>
      </c>
      <c r="CX104" s="3" t="s">
        <v>201</v>
      </c>
      <c r="CY104" s="3" t="s">
        <v>201</v>
      </c>
      <c r="CZ104" s="3" t="s">
        <v>201</v>
      </c>
      <c r="DA104" s="3" t="s">
        <v>201</v>
      </c>
      <c r="DB104" s="3" t="s">
        <v>201</v>
      </c>
      <c r="DC104" s="3" t="s">
        <v>201</v>
      </c>
      <c r="DD104" s="3" t="s">
        <v>201</v>
      </c>
      <c r="DE104" s="3" t="s">
        <v>201</v>
      </c>
      <c r="DF104" s="3" t="s">
        <v>201</v>
      </c>
      <c r="DG104" s="3" t="s">
        <v>201</v>
      </c>
      <c r="DH104" s="3" t="s">
        <v>201</v>
      </c>
      <c r="DI104" s="3" t="s">
        <v>201</v>
      </c>
      <c r="DJ104" s="3" t="s">
        <v>201</v>
      </c>
      <c r="DK104" s="3" t="s">
        <v>201</v>
      </c>
      <c r="DL104" s="3" t="s">
        <v>201</v>
      </c>
      <c r="DM104" s="3" t="s">
        <v>201</v>
      </c>
      <c r="DN104" s="3" t="s">
        <v>201</v>
      </c>
      <c r="DO104" s="3" t="s">
        <v>201</v>
      </c>
      <c r="DP104" s="3" t="s">
        <v>201</v>
      </c>
      <c r="DQ104" s="3" t="s">
        <v>201</v>
      </c>
      <c r="DR104">
        <f t="shared" si="2"/>
        <v>2023</v>
      </c>
    </row>
    <row r="105" spans="1:122" x14ac:dyDescent="0.35">
      <c r="A105" s="1">
        <f t="shared" si="3"/>
        <v>45139</v>
      </c>
      <c r="B105" s="2">
        <v>43</v>
      </c>
      <c r="C105" s="2">
        <v>33</v>
      </c>
      <c r="D105" s="2">
        <v>27</v>
      </c>
      <c r="E105" s="2">
        <v>21</v>
      </c>
      <c r="F105" s="2">
        <v>8</v>
      </c>
      <c r="G105" s="2">
        <v>10</v>
      </c>
      <c r="H105" s="2">
        <v>14</v>
      </c>
      <c r="I105" s="2">
        <v>7</v>
      </c>
      <c r="J105" s="2">
        <v>8</v>
      </c>
      <c r="K105" s="2">
        <v>2</v>
      </c>
      <c r="L105" s="2">
        <v>2</v>
      </c>
      <c r="M105" s="2">
        <v>7</v>
      </c>
      <c r="N105" s="3">
        <v>5</v>
      </c>
      <c r="O105" s="3">
        <v>3</v>
      </c>
      <c r="P105" s="3">
        <v>1</v>
      </c>
      <c r="Q105" s="3">
        <v>2</v>
      </c>
      <c r="R105" s="3">
        <v>2</v>
      </c>
      <c r="S105" s="3" t="s">
        <v>201</v>
      </c>
      <c r="T105" s="3" t="s">
        <v>201</v>
      </c>
      <c r="U105" s="3" t="s">
        <v>201</v>
      </c>
      <c r="V105" s="3" t="s">
        <v>201</v>
      </c>
      <c r="W105" s="3" t="s">
        <v>201</v>
      </c>
      <c r="X105" s="3" t="s">
        <v>201</v>
      </c>
      <c r="Y105" s="3" t="s">
        <v>201</v>
      </c>
      <c r="Z105" s="3" t="s">
        <v>201</v>
      </c>
      <c r="AA105" s="3" t="s">
        <v>201</v>
      </c>
      <c r="AB105" s="3" t="s">
        <v>201</v>
      </c>
      <c r="AC105" s="3" t="s">
        <v>201</v>
      </c>
      <c r="AD105" s="3" t="s">
        <v>201</v>
      </c>
      <c r="AE105" s="3" t="s">
        <v>201</v>
      </c>
      <c r="AF105" s="3" t="s">
        <v>201</v>
      </c>
      <c r="AG105" s="3" t="s">
        <v>201</v>
      </c>
      <c r="AH105" s="3" t="s">
        <v>201</v>
      </c>
      <c r="AI105" s="3" t="s">
        <v>201</v>
      </c>
      <c r="AJ105" s="3" t="s">
        <v>201</v>
      </c>
      <c r="AK105" s="3" t="s">
        <v>201</v>
      </c>
      <c r="AL105" s="3" t="s">
        <v>201</v>
      </c>
      <c r="AM105" s="3" t="s">
        <v>201</v>
      </c>
      <c r="AN105" s="3" t="s">
        <v>201</v>
      </c>
      <c r="AO105" s="3" t="s">
        <v>201</v>
      </c>
      <c r="AP105" s="3" t="s">
        <v>201</v>
      </c>
      <c r="AQ105" s="3" t="s">
        <v>201</v>
      </c>
      <c r="AR105" s="3" t="s">
        <v>201</v>
      </c>
      <c r="AS105" s="3" t="s">
        <v>201</v>
      </c>
      <c r="AT105" s="3" t="s">
        <v>201</v>
      </c>
      <c r="AU105" s="3" t="s">
        <v>201</v>
      </c>
      <c r="AV105" s="3" t="s">
        <v>201</v>
      </c>
      <c r="AW105" s="3" t="s">
        <v>201</v>
      </c>
      <c r="AX105" s="3" t="s">
        <v>201</v>
      </c>
      <c r="AY105" s="3" t="s">
        <v>201</v>
      </c>
      <c r="AZ105" s="3" t="s">
        <v>201</v>
      </c>
      <c r="BA105" s="3" t="s">
        <v>201</v>
      </c>
      <c r="BB105" s="3" t="s">
        <v>201</v>
      </c>
      <c r="BC105" s="3" t="s">
        <v>201</v>
      </c>
      <c r="BD105" s="3" t="s">
        <v>201</v>
      </c>
      <c r="BE105" s="3" t="s">
        <v>201</v>
      </c>
      <c r="BF105" s="3" t="s">
        <v>201</v>
      </c>
      <c r="BG105" s="3" t="s">
        <v>201</v>
      </c>
      <c r="BH105" s="3" t="s">
        <v>201</v>
      </c>
      <c r="BI105" s="3" t="s">
        <v>201</v>
      </c>
      <c r="BJ105" s="3" t="s">
        <v>201</v>
      </c>
      <c r="BK105" s="3" t="s">
        <v>201</v>
      </c>
      <c r="BL105" s="3" t="s">
        <v>201</v>
      </c>
      <c r="BM105" s="3" t="s">
        <v>201</v>
      </c>
      <c r="BN105" s="3" t="s">
        <v>201</v>
      </c>
      <c r="BO105" s="3" t="s">
        <v>201</v>
      </c>
      <c r="BP105" s="3" t="s">
        <v>201</v>
      </c>
      <c r="BQ105" s="3" t="s">
        <v>201</v>
      </c>
      <c r="BR105" s="3" t="s">
        <v>201</v>
      </c>
      <c r="BS105" s="3" t="s">
        <v>201</v>
      </c>
      <c r="BT105" s="3" t="s">
        <v>201</v>
      </c>
      <c r="BU105" s="3" t="s">
        <v>201</v>
      </c>
      <c r="BV105" s="3" t="s">
        <v>201</v>
      </c>
      <c r="BW105" s="3" t="s">
        <v>201</v>
      </c>
      <c r="BX105" s="3" t="s">
        <v>201</v>
      </c>
      <c r="BY105" s="3" t="s">
        <v>201</v>
      </c>
      <c r="BZ105" s="3" t="s">
        <v>201</v>
      </c>
      <c r="CA105" s="3" t="s">
        <v>201</v>
      </c>
      <c r="CB105" s="3" t="s">
        <v>201</v>
      </c>
      <c r="CC105" s="3" t="s">
        <v>201</v>
      </c>
      <c r="CD105" s="3" t="s">
        <v>201</v>
      </c>
      <c r="CE105" s="3" t="s">
        <v>201</v>
      </c>
      <c r="CF105" s="3" t="s">
        <v>201</v>
      </c>
      <c r="CG105" s="3" t="s">
        <v>201</v>
      </c>
      <c r="CH105" s="3" t="s">
        <v>201</v>
      </c>
      <c r="CI105" s="3" t="s">
        <v>201</v>
      </c>
      <c r="CJ105" s="3" t="s">
        <v>201</v>
      </c>
      <c r="CK105" s="3" t="s">
        <v>201</v>
      </c>
      <c r="CL105" s="3" t="s">
        <v>201</v>
      </c>
      <c r="CM105" s="3" t="s">
        <v>201</v>
      </c>
      <c r="CN105" s="3" t="s">
        <v>201</v>
      </c>
      <c r="CO105" s="3" t="s">
        <v>201</v>
      </c>
      <c r="CP105" s="3" t="s">
        <v>201</v>
      </c>
      <c r="CQ105" s="3" t="s">
        <v>201</v>
      </c>
      <c r="CR105" s="3" t="s">
        <v>201</v>
      </c>
      <c r="CS105" s="3" t="s">
        <v>201</v>
      </c>
      <c r="CT105" s="3" t="s">
        <v>201</v>
      </c>
      <c r="CU105" s="3" t="s">
        <v>201</v>
      </c>
      <c r="CV105" s="3" t="s">
        <v>201</v>
      </c>
      <c r="CW105" s="3" t="s">
        <v>201</v>
      </c>
      <c r="CX105" s="3" t="s">
        <v>201</v>
      </c>
      <c r="CY105" s="3" t="s">
        <v>201</v>
      </c>
      <c r="CZ105" s="3" t="s">
        <v>201</v>
      </c>
      <c r="DA105" s="3" t="s">
        <v>201</v>
      </c>
      <c r="DB105" s="3" t="s">
        <v>201</v>
      </c>
      <c r="DC105" s="3" t="s">
        <v>201</v>
      </c>
      <c r="DD105" s="3" t="s">
        <v>201</v>
      </c>
      <c r="DE105" s="3" t="s">
        <v>201</v>
      </c>
      <c r="DF105" s="3" t="s">
        <v>201</v>
      </c>
      <c r="DG105" s="3" t="s">
        <v>201</v>
      </c>
      <c r="DH105" s="3" t="s">
        <v>201</v>
      </c>
      <c r="DI105" s="3" t="s">
        <v>201</v>
      </c>
      <c r="DJ105" s="3" t="s">
        <v>201</v>
      </c>
      <c r="DK105" s="3" t="s">
        <v>201</v>
      </c>
      <c r="DL105" s="3" t="s">
        <v>201</v>
      </c>
      <c r="DM105" s="3" t="s">
        <v>201</v>
      </c>
      <c r="DN105" s="3" t="s">
        <v>201</v>
      </c>
      <c r="DO105" s="3" t="s">
        <v>201</v>
      </c>
      <c r="DP105" s="3" t="s">
        <v>201</v>
      </c>
      <c r="DQ105" s="3" t="s">
        <v>201</v>
      </c>
      <c r="DR105">
        <f t="shared" si="2"/>
        <v>2023</v>
      </c>
    </row>
    <row r="106" spans="1:122" x14ac:dyDescent="0.35">
      <c r="A106" s="1">
        <f t="shared" si="3"/>
        <v>45170</v>
      </c>
      <c r="B106" s="2">
        <v>46</v>
      </c>
      <c r="C106" s="2">
        <v>25</v>
      </c>
      <c r="D106" s="2">
        <v>32</v>
      </c>
      <c r="E106" s="2">
        <v>16</v>
      </c>
      <c r="F106" s="2">
        <v>13</v>
      </c>
      <c r="G106" s="2">
        <v>8</v>
      </c>
      <c r="H106" s="2">
        <v>6</v>
      </c>
      <c r="I106" s="2">
        <v>8</v>
      </c>
      <c r="J106" s="2">
        <v>3</v>
      </c>
      <c r="K106" s="2">
        <v>7</v>
      </c>
      <c r="L106" s="2">
        <v>6</v>
      </c>
      <c r="M106" s="2">
        <v>2</v>
      </c>
      <c r="N106" s="3">
        <v>4</v>
      </c>
      <c r="O106" s="3">
        <v>4</v>
      </c>
      <c r="P106" s="3">
        <v>1</v>
      </c>
      <c r="Q106" s="3">
        <v>0</v>
      </c>
      <c r="R106" s="3" t="s">
        <v>201</v>
      </c>
      <c r="S106" s="3" t="s">
        <v>201</v>
      </c>
      <c r="T106" s="3" t="s">
        <v>201</v>
      </c>
      <c r="U106" s="3" t="s">
        <v>201</v>
      </c>
      <c r="V106" s="3" t="s">
        <v>201</v>
      </c>
      <c r="W106" s="3" t="s">
        <v>201</v>
      </c>
      <c r="X106" s="3" t="s">
        <v>201</v>
      </c>
      <c r="Y106" s="3" t="s">
        <v>201</v>
      </c>
      <c r="Z106" s="3" t="s">
        <v>201</v>
      </c>
      <c r="AA106" s="3" t="s">
        <v>201</v>
      </c>
      <c r="AB106" s="3" t="s">
        <v>201</v>
      </c>
      <c r="AC106" s="3" t="s">
        <v>201</v>
      </c>
      <c r="AD106" s="3" t="s">
        <v>201</v>
      </c>
      <c r="AE106" s="3" t="s">
        <v>201</v>
      </c>
      <c r="AF106" s="3" t="s">
        <v>201</v>
      </c>
      <c r="AG106" s="3" t="s">
        <v>201</v>
      </c>
      <c r="AH106" s="3" t="s">
        <v>201</v>
      </c>
      <c r="AI106" s="3" t="s">
        <v>201</v>
      </c>
      <c r="AJ106" s="3" t="s">
        <v>201</v>
      </c>
      <c r="AK106" s="3" t="s">
        <v>201</v>
      </c>
      <c r="AL106" s="3" t="s">
        <v>201</v>
      </c>
      <c r="AM106" s="3" t="s">
        <v>201</v>
      </c>
      <c r="AN106" s="3" t="s">
        <v>201</v>
      </c>
      <c r="AO106" s="3" t="s">
        <v>201</v>
      </c>
      <c r="AP106" s="3" t="s">
        <v>201</v>
      </c>
      <c r="AQ106" s="3" t="s">
        <v>201</v>
      </c>
      <c r="AR106" s="3" t="s">
        <v>201</v>
      </c>
      <c r="AS106" s="3" t="s">
        <v>201</v>
      </c>
      <c r="AT106" s="3" t="s">
        <v>201</v>
      </c>
      <c r="AU106" s="3" t="s">
        <v>201</v>
      </c>
      <c r="AV106" s="3" t="s">
        <v>201</v>
      </c>
      <c r="AW106" s="3" t="s">
        <v>201</v>
      </c>
      <c r="AX106" s="3" t="s">
        <v>201</v>
      </c>
      <c r="AY106" s="3" t="s">
        <v>201</v>
      </c>
      <c r="AZ106" s="3" t="s">
        <v>201</v>
      </c>
      <c r="BA106" s="3" t="s">
        <v>201</v>
      </c>
      <c r="BB106" s="3" t="s">
        <v>201</v>
      </c>
      <c r="BC106" s="3" t="s">
        <v>201</v>
      </c>
      <c r="BD106" s="3" t="s">
        <v>201</v>
      </c>
      <c r="BE106" s="3" t="s">
        <v>201</v>
      </c>
      <c r="BF106" s="3" t="s">
        <v>201</v>
      </c>
      <c r="BG106" s="3" t="s">
        <v>201</v>
      </c>
      <c r="BH106" s="3" t="s">
        <v>201</v>
      </c>
      <c r="BI106" s="3" t="s">
        <v>201</v>
      </c>
      <c r="BJ106" s="3" t="s">
        <v>201</v>
      </c>
      <c r="BK106" s="3" t="s">
        <v>201</v>
      </c>
      <c r="BL106" s="3" t="s">
        <v>201</v>
      </c>
      <c r="BM106" s="3" t="s">
        <v>201</v>
      </c>
      <c r="BN106" s="3" t="s">
        <v>201</v>
      </c>
      <c r="BO106" s="3" t="s">
        <v>201</v>
      </c>
      <c r="BP106" s="3" t="s">
        <v>201</v>
      </c>
      <c r="BQ106" s="3" t="s">
        <v>201</v>
      </c>
      <c r="BR106" s="3" t="s">
        <v>201</v>
      </c>
      <c r="BS106" s="3" t="s">
        <v>201</v>
      </c>
      <c r="BT106" s="3" t="s">
        <v>201</v>
      </c>
      <c r="BU106" s="3" t="s">
        <v>201</v>
      </c>
      <c r="BV106" s="3" t="s">
        <v>201</v>
      </c>
      <c r="BW106" s="3" t="s">
        <v>201</v>
      </c>
      <c r="BX106" s="3" t="s">
        <v>201</v>
      </c>
      <c r="BY106" s="3" t="s">
        <v>201</v>
      </c>
      <c r="BZ106" s="3" t="s">
        <v>201</v>
      </c>
      <c r="CA106" s="3" t="s">
        <v>201</v>
      </c>
      <c r="CB106" s="3" t="s">
        <v>201</v>
      </c>
      <c r="CC106" s="3" t="s">
        <v>201</v>
      </c>
      <c r="CD106" s="3" t="s">
        <v>201</v>
      </c>
      <c r="CE106" s="3" t="s">
        <v>201</v>
      </c>
      <c r="CF106" s="3" t="s">
        <v>201</v>
      </c>
      <c r="CG106" s="3" t="s">
        <v>201</v>
      </c>
      <c r="CH106" s="3" t="s">
        <v>201</v>
      </c>
      <c r="CI106" s="3" t="s">
        <v>201</v>
      </c>
      <c r="CJ106" s="3" t="s">
        <v>201</v>
      </c>
      <c r="CK106" s="3" t="s">
        <v>201</v>
      </c>
      <c r="CL106" s="3" t="s">
        <v>201</v>
      </c>
      <c r="CM106" s="3" t="s">
        <v>201</v>
      </c>
      <c r="CN106" s="3" t="s">
        <v>201</v>
      </c>
      <c r="CO106" s="3" t="s">
        <v>201</v>
      </c>
      <c r="CP106" s="3" t="s">
        <v>201</v>
      </c>
      <c r="CQ106" s="3" t="s">
        <v>201</v>
      </c>
      <c r="CR106" s="3" t="s">
        <v>201</v>
      </c>
      <c r="CS106" s="3" t="s">
        <v>201</v>
      </c>
      <c r="CT106" s="3" t="s">
        <v>201</v>
      </c>
      <c r="CU106" s="3" t="s">
        <v>201</v>
      </c>
      <c r="CV106" s="3" t="s">
        <v>201</v>
      </c>
      <c r="CW106" s="3" t="s">
        <v>201</v>
      </c>
      <c r="CX106" s="3" t="s">
        <v>201</v>
      </c>
      <c r="CY106" s="3" t="s">
        <v>201</v>
      </c>
      <c r="CZ106" s="3" t="s">
        <v>201</v>
      </c>
      <c r="DA106" s="3" t="s">
        <v>201</v>
      </c>
      <c r="DB106" s="3" t="s">
        <v>201</v>
      </c>
      <c r="DC106" s="3" t="s">
        <v>201</v>
      </c>
      <c r="DD106" s="3" t="s">
        <v>201</v>
      </c>
      <c r="DE106" s="3" t="s">
        <v>201</v>
      </c>
      <c r="DF106" s="3" t="s">
        <v>201</v>
      </c>
      <c r="DG106" s="3" t="s">
        <v>201</v>
      </c>
      <c r="DH106" s="3" t="s">
        <v>201</v>
      </c>
      <c r="DI106" s="3" t="s">
        <v>201</v>
      </c>
      <c r="DJ106" s="3" t="s">
        <v>201</v>
      </c>
      <c r="DK106" s="3" t="s">
        <v>201</v>
      </c>
      <c r="DL106" s="3" t="s">
        <v>201</v>
      </c>
      <c r="DM106" s="3" t="s">
        <v>201</v>
      </c>
      <c r="DN106" s="3" t="s">
        <v>201</v>
      </c>
      <c r="DO106" s="3" t="s">
        <v>201</v>
      </c>
      <c r="DP106" s="3" t="s">
        <v>201</v>
      </c>
      <c r="DQ106" s="3" t="s">
        <v>201</v>
      </c>
      <c r="DR106">
        <f t="shared" si="2"/>
        <v>2023</v>
      </c>
    </row>
    <row r="107" spans="1:122" x14ac:dyDescent="0.35">
      <c r="A107" s="1">
        <f t="shared" si="3"/>
        <v>45200</v>
      </c>
      <c r="B107" s="2">
        <v>34</v>
      </c>
      <c r="C107" s="2">
        <v>26</v>
      </c>
      <c r="D107" s="2">
        <v>21</v>
      </c>
      <c r="E107" s="2">
        <v>8</v>
      </c>
      <c r="F107" s="2">
        <v>6</v>
      </c>
      <c r="G107" s="2">
        <v>11</v>
      </c>
      <c r="H107" s="2">
        <v>4</v>
      </c>
      <c r="I107" s="2">
        <v>4</v>
      </c>
      <c r="J107" s="2">
        <v>6</v>
      </c>
      <c r="K107" s="2">
        <v>5</v>
      </c>
      <c r="L107" s="2">
        <v>3</v>
      </c>
      <c r="M107" s="2">
        <v>3</v>
      </c>
      <c r="N107" s="3">
        <v>1</v>
      </c>
      <c r="O107" s="3">
        <v>2</v>
      </c>
      <c r="P107" s="3">
        <v>0</v>
      </c>
      <c r="Q107" s="3" t="s">
        <v>201</v>
      </c>
      <c r="R107" s="3" t="s">
        <v>201</v>
      </c>
      <c r="S107" s="3" t="s">
        <v>201</v>
      </c>
      <c r="T107" s="3" t="s">
        <v>201</v>
      </c>
      <c r="U107" s="3" t="s">
        <v>201</v>
      </c>
      <c r="V107" s="3" t="s">
        <v>201</v>
      </c>
      <c r="W107" s="3" t="s">
        <v>201</v>
      </c>
      <c r="X107" s="3" t="s">
        <v>201</v>
      </c>
      <c r="Y107" s="3" t="s">
        <v>201</v>
      </c>
      <c r="Z107" s="3" t="s">
        <v>201</v>
      </c>
      <c r="AA107" s="3" t="s">
        <v>201</v>
      </c>
      <c r="AB107" s="3" t="s">
        <v>201</v>
      </c>
      <c r="AC107" s="3" t="s">
        <v>201</v>
      </c>
      <c r="AD107" s="3" t="s">
        <v>201</v>
      </c>
      <c r="AE107" s="3" t="s">
        <v>201</v>
      </c>
      <c r="AF107" s="3" t="s">
        <v>201</v>
      </c>
      <c r="AG107" s="3" t="s">
        <v>201</v>
      </c>
      <c r="AH107" s="3" t="s">
        <v>201</v>
      </c>
      <c r="AI107" s="3" t="s">
        <v>201</v>
      </c>
      <c r="AJ107" s="3" t="s">
        <v>201</v>
      </c>
      <c r="AK107" s="3" t="s">
        <v>201</v>
      </c>
      <c r="AL107" s="3" t="s">
        <v>201</v>
      </c>
      <c r="AM107" s="3" t="s">
        <v>201</v>
      </c>
      <c r="AN107" s="3" t="s">
        <v>201</v>
      </c>
      <c r="AO107" s="3" t="s">
        <v>201</v>
      </c>
      <c r="AP107" s="3" t="s">
        <v>201</v>
      </c>
      <c r="AQ107" s="3" t="s">
        <v>201</v>
      </c>
      <c r="AR107" s="3" t="s">
        <v>201</v>
      </c>
      <c r="AS107" s="3" t="s">
        <v>201</v>
      </c>
      <c r="AT107" s="3" t="s">
        <v>201</v>
      </c>
      <c r="AU107" s="3" t="s">
        <v>201</v>
      </c>
      <c r="AV107" s="3" t="s">
        <v>201</v>
      </c>
      <c r="AW107" s="3" t="s">
        <v>201</v>
      </c>
      <c r="AX107" s="3" t="s">
        <v>201</v>
      </c>
      <c r="AY107" s="3" t="s">
        <v>201</v>
      </c>
      <c r="AZ107" s="3" t="s">
        <v>201</v>
      </c>
      <c r="BA107" s="3" t="s">
        <v>201</v>
      </c>
      <c r="BB107" s="3" t="s">
        <v>201</v>
      </c>
      <c r="BC107" s="3" t="s">
        <v>201</v>
      </c>
      <c r="BD107" s="3" t="s">
        <v>201</v>
      </c>
      <c r="BE107" s="3" t="s">
        <v>201</v>
      </c>
      <c r="BF107" s="3" t="s">
        <v>201</v>
      </c>
      <c r="BG107" s="3" t="s">
        <v>201</v>
      </c>
      <c r="BH107" s="3" t="s">
        <v>201</v>
      </c>
      <c r="BI107" s="3" t="s">
        <v>201</v>
      </c>
      <c r="BJ107" s="3" t="s">
        <v>201</v>
      </c>
      <c r="BK107" s="3" t="s">
        <v>201</v>
      </c>
      <c r="BL107" s="3" t="s">
        <v>201</v>
      </c>
      <c r="BM107" s="3" t="s">
        <v>201</v>
      </c>
      <c r="BN107" s="3" t="s">
        <v>201</v>
      </c>
      <c r="BO107" s="3" t="s">
        <v>201</v>
      </c>
      <c r="BP107" s="3" t="s">
        <v>201</v>
      </c>
      <c r="BQ107" s="3" t="s">
        <v>201</v>
      </c>
      <c r="BR107" s="3" t="s">
        <v>201</v>
      </c>
      <c r="BS107" s="3" t="s">
        <v>201</v>
      </c>
      <c r="BT107" s="3" t="s">
        <v>201</v>
      </c>
      <c r="BU107" s="3" t="s">
        <v>201</v>
      </c>
      <c r="BV107" s="3" t="s">
        <v>201</v>
      </c>
      <c r="BW107" s="3" t="s">
        <v>201</v>
      </c>
      <c r="BX107" s="3" t="s">
        <v>201</v>
      </c>
      <c r="BY107" s="3" t="s">
        <v>201</v>
      </c>
      <c r="BZ107" s="3" t="s">
        <v>201</v>
      </c>
      <c r="CA107" s="3" t="s">
        <v>201</v>
      </c>
      <c r="CB107" s="3" t="s">
        <v>201</v>
      </c>
      <c r="CC107" s="3" t="s">
        <v>201</v>
      </c>
      <c r="CD107" s="3" t="s">
        <v>201</v>
      </c>
      <c r="CE107" s="3" t="s">
        <v>201</v>
      </c>
      <c r="CF107" s="3" t="s">
        <v>201</v>
      </c>
      <c r="CG107" s="3" t="s">
        <v>201</v>
      </c>
      <c r="CH107" s="3" t="s">
        <v>201</v>
      </c>
      <c r="CI107" s="3" t="s">
        <v>201</v>
      </c>
      <c r="CJ107" s="3" t="s">
        <v>201</v>
      </c>
      <c r="CK107" s="3" t="s">
        <v>201</v>
      </c>
      <c r="CL107" s="3" t="s">
        <v>201</v>
      </c>
      <c r="CM107" s="3" t="s">
        <v>201</v>
      </c>
      <c r="CN107" s="3" t="s">
        <v>201</v>
      </c>
      <c r="CO107" s="3" t="s">
        <v>201</v>
      </c>
      <c r="CP107" s="3" t="s">
        <v>201</v>
      </c>
      <c r="CQ107" s="3" t="s">
        <v>201</v>
      </c>
      <c r="CR107" s="3" t="s">
        <v>201</v>
      </c>
      <c r="CS107" s="3" t="s">
        <v>201</v>
      </c>
      <c r="CT107" s="3" t="s">
        <v>201</v>
      </c>
      <c r="CU107" s="3" t="s">
        <v>201</v>
      </c>
      <c r="CV107" s="3" t="s">
        <v>201</v>
      </c>
      <c r="CW107" s="3" t="s">
        <v>201</v>
      </c>
      <c r="CX107" s="3" t="s">
        <v>201</v>
      </c>
      <c r="CY107" s="3" t="s">
        <v>201</v>
      </c>
      <c r="CZ107" s="3" t="s">
        <v>201</v>
      </c>
      <c r="DA107" s="3" t="s">
        <v>201</v>
      </c>
      <c r="DB107" s="3" t="s">
        <v>201</v>
      </c>
      <c r="DC107" s="3" t="s">
        <v>201</v>
      </c>
      <c r="DD107" s="3" t="s">
        <v>201</v>
      </c>
      <c r="DE107" s="3" t="s">
        <v>201</v>
      </c>
      <c r="DF107" s="3" t="s">
        <v>201</v>
      </c>
      <c r="DG107" s="3" t="s">
        <v>201</v>
      </c>
      <c r="DH107" s="3" t="s">
        <v>201</v>
      </c>
      <c r="DI107" s="3" t="s">
        <v>201</v>
      </c>
      <c r="DJ107" s="3" t="s">
        <v>201</v>
      </c>
      <c r="DK107" s="3" t="s">
        <v>201</v>
      </c>
      <c r="DL107" s="3" t="s">
        <v>201</v>
      </c>
      <c r="DM107" s="3" t="s">
        <v>201</v>
      </c>
      <c r="DN107" s="3" t="s">
        <v>201</v>
      </c>
      <c r="DO107" s="3" t="s">
        <v>201</v>
      </c>
      <c r="DP107" s="3" t="s">
        <v>201</v>
      </c>
      <c r="DQ107" s="3" t="s">
        <v>201</v>
      </c>
      <c r="DR107">
        <f t="shared" si="2"/>
        <v>2023</v>
      </c>
    </row>
    <row r="108" spans="1:122" x14ac:dyDescent="0.35">
      <c r="A108" s="1">
        <f t="shared" si="3"/>
        <v>45231</v>
      </c>
      <c r="B108" s="2">
        <v>56</v>
      </c>
      <c r="C108" s="2">
        <v>27</v>
      </c>
      <c r="D108" s="2">
        <v>12</v>
      </c>
      <c r="E108" s="2">
        <v>11</v>
      </c>
      <c r="F108" s="2">
        <v>7</v>
      </c>
      <c r="G108" s="2">
        <v>9</v>
      </c>
      <c r="H108" s="2">
        <v>11</v>
      </c>
      <c r="I108" s="2">
        <v>5</v>
      </c>
      <c r="J108" s="2">
        <v>5</v>
      </c>
      <c r="K108" s="2">
        <v>2</v>
      </c>
      <c r="L108" s="2">
        <v>0</v>
      </c>
      <c r="M108" s="2">
        <v>4</v>
      </c>
      <c r="N108" s="3">
        <v>0</v>
      </c>
      <c r="O108" s="3">
        <v>2</v>
      </c>
      <c r="P108" s="3" t="s">
        <v>201</v>
      </c>
      <c r="Q108" s="3" t="s">
        <v>201</v>
      </c>
      <c r="R108" s="3" t="s">
        <v>201</v>
      </c>
      <c r="S108" s="3" t="s">
        <v>201</v>
      </c>
      <c r="T108" s="3" t="s">
        <v>201</v>
      </c>
      <c r="U108" s="3" t="s">
        <v>201</v>
      </c>
      <c r="V108" s="3" t="s">
        <v>201</v>
      </c>
      <c r="W108" s="3" t="s">
        <v>201</v>
      </c>
      <c r="X108" s="3" t="s">
        <v>201</v>
      </c>
      <c r="Y108" s="3" t="s">
        <v>201</v>
      </c>
      <c r="Z108" s="3" t="s">
        <v>201</v>
      </c>
      <c r="AA108" s="3" t="s">
        <v>201</v>
      </c>
      <c r="AB108" s="3" t="s">
        <v>201</v>
      </c>
      <c r="AC108" s="3" t="s">
        <v>201</v>
      </c>
      <c r="AD108" s="3" t="s">
        <v>201</v>
      </c>
      <c r="AE108" s="3" t="s">
        <v>201</v>
      </c>
      <c r="AF108" s="3" t="s">
        <v>201</v>
      </c>
      <c r="AG108" s="3" t="s">
        <v>201</v>
      </c>
      <c r="AH108" s="3" t="s">
        <v>201</v>
      </c>
      <c r="AI108" s="3" t="s">
        <v>201</v>
      </c>
      <c r="AJ108" s="3" t="s">
        <v>201</v>
      </c>
      <c r="AK108" s="3" t="s">
        <v>201</v>
      </c>
      <c r="AL108" s="3" t="s">
        <v>201</v>
      </c>
      <c r="AM108" s="3" t="s">
        <v>201</v>
      </c>
      <c r="AN108" s="3" t="s">
        <v>201</v>
      </c>
      <c r="AO108" s="3" t="s">
        <v>201</v>
      </c>
      <c r="AP108" s="3" t="s">
        <v>201</v>
      </c>
      <c r="AQ108" s="3" t="s">
        <v>201</v>
      </c>
      <c r="AR108" s="3" t="s">
        <v>201</v>
      </c>
      <c r="AS108" s="3" t="s">
        <v>201</v>
      </c>
      <c r="AT108" s="3" t="s">
        <v>201</v>
      </c>
      <c r="AU108" s="3" t="s">
        <v>201</v>
      </c>
      <c r="AV108" s="3" t="s">
        <v>201</v>
      </c>
      <c r="AW108" s="3" t="s">
        <v>201</v>
      </c>
      <c r="AX108" s="3" t="s">
        <v>201</v>
      </c>
      <c r="AY108" s="3" t="s">
        <v>201</v>
      </c>
      <c r="AZ108" s="3" t="s">
        <v>201</v>
      </c>
      <c r="BA108" s="3" t="s">
        <v>201</v>
      </c>
      <c r="BB108" s="3" t="s">
        <v>201</v>
      </c>
      <c r="BC108" s="3" t="s">
        <v>201</v>
      </c>
      <c r="BD108" s="3" t="s">
        <v>201</v>
      </c>
      <c r="BE108" s="3" t="s">
        <v>201</v>
      </c>
      <c r="BF108" s="3" t="s">
        <v>201</v>
      </c>
      <c r="BG108" s="3" t="s">
        <v>201</v>
      </c>
      <c r="BH108" s="3" t="s">
        <v>201</v>
      </c>
      <c r="BI108" s="3" t="s">
        <v>201</v>
      </c>
      <c r="BJ108" s="3" t="s">
        <v>201</v>
      </c>
      <c r="BK108" s="3" t="s">
        <v>201</v>
      </c>
      <c r="BL108" s="3" t="s">
        <v>201</v>
      </c>
      <c r="BM108" s="3" t="s">
        <v>201</v>
      </c>
      <c r="BN108" s="3" t="s">
        <v>201</v>
      </c>
      <c r="BO108" s="3" t="s">
        <v>201</v>
      </c>
      <c r="BP108" s="3" t="s">
        <v>201</v>
      </c>
      <c r="BQ108" s="3" t="s">
        <v>201</v>
      </c>
      <c r="BR108" s="3" t="s">
        <v>201</v>
      </c>
      <c r="BS108" s="3" t="s">
        <v>201</v>
      </c>
      <c r="BT108" s="3" t="s">
        <v>201</v>
      </c>
      <c r="BU108" s="3" t="s">
        <v>201</v>
      </c>
      <c r="BV108" s="3" t="s">
        <v>201</v>
      </c>
      <c r="BW108" s="3" t="s">
        <v>201</v>
      </c>
      <c r="BX108" s="3" t="s">
        <v>201</v>
      </c>
      <c r="BY108" s="3" t="s">
        <v>201</v>
      </c>
      <c r="BZ108" s="3" t="s">
        <v>201</v>
      </c>
      <c r="CA108" s="3" t="s">
        <v>201</v>
      </c>
      <c r="CB108" s="3" t="s">
        <v>201</v>
      </c>
      <c r="CC108" s="3" t="s">
        <v>201</v>
      </c>
      <c r="CD108" s="3" t="s">
        <v>201</v>
      </c>
      <c r="CE108" s="3" t="s">
        <v>201</v>
      </c>
      <c r="CF108" s="3" t="s">
        <v>201</v>
      </c>
      <c r="CG108" s="3" t="s">
        <v>201</v>
      </c>
      <c r="CH108" s="3" t="s">
        <v>201</v>
      </c>
      <c r="CI108" s="3" t="s">
        <v>201</v>
      </c>
      <c r="CJ108" s="3" t="s">
        <v>201</v>
      </c>
      <c r="CK108" s="3" t="s">
        <v>201</v>
      </c>
      <c r="CL108" s="3" t="s">
        <v>201</v>
      </c>
      <c r="CM108" s="3" t="s">
        <v>201</v>
      </c>
      <c r="CN108" s="3" t="s">
        <v>201</v>
      </c>
      <c r="CO108" s="3" t="s">
        <v>201</v>
      </c>
      <c r="CP108" s="3" t="s">
        <v>201</v>
      </c>
      <c r="CQ108" s="3" t="s">
        <v>201</v>
      </c>
      <c r="CR108" s="3" t="s">
        <v>201</v>
      </c>
      <c r="CS108" s="3" t="s">
        <v>201</v>
      </c>
      <c r="CT108" s="3" t="s">
        <v>201</v>
      </c>
      <c r="CU108" s="3" t="s">
        <v>201</v>
      </c>
      <c r="CV108" s="3" t="s">
        <v>201</v>
      </c>
      <c r="CW108" s="3" t="s">
        <v>201</v>
      </c>
      <c r="CX108" s="3" t="s">
        <v>201</v>
      </c>
      <c r="CY108" s="3" t="s">
        <v>201</v>
      </c>
      <c r="CZ108" s="3" t="s">
        <v>201</v>
      </c>
      <c r="DA108" s="3" t="s">
        <v>201</v>
      </c>
      <c r="DB108" s="3" t="s">
        <v>201</v>
      </c>
      <c r="DC108" s="3" t="s">
        <v>201</v>
      </c>
      <c r="DD108" s="3" t="s">
        <v>201</v>
      </c>
      <c r="DE108" s="3" t="s">
        <v>201</v>
      </c>
      <c r="DF108" s="3" t="s">
        <v>201</v>
      </c>
      <c r="DG108" s="3" t="s">
        <v>201</v>
      </c>
      <c r="DH108" s="3" t="s">
        <v>201</v>
      </c>
      <c r="DI108" s="3" t="s">
        <v>201</v>
      </c>
      <c r="DJ108" s="3" t="s">
        <v>201</v>
      </c>
      <c r="DK108" s="3" t="s">
        <v>201</v>
      </c>
      <c r="DL108" s="3" t="s">
        <v>201</v>
      </c>
      <c r="DM108" s="3" t="s">
        <v>201</v>
      </c>
      <c r="DN108" s="3" t="s">
        <v>201</v>
      </c>
      <c r="DO108" s="3" t="s">
        <v>201</v>
      </c>
      <c r="DP108" s="3" t="s">
        <v>201</v>
      </c>
      <c r="DQ108" s="3" t="s">
        <v>201</v>
      </c>
      <c r="DR108">
        <f t="shared" si="2"/>
        <v>2023</v>
      </c>
    </row>
    <row r="109" spans="1:122" x14ac:dyDescent="0.35">
      <c r="A109" s="1">
        <f t="shared" si="3"/>
        <v>45261</v>
      </c>
      <c r="B109" s="2">
        <v>41</v>
      </c>
      <c r="C109" s="2">
        <v>23</v>
      </c>
      <c r="D109" s="2">
        <v>31</v>
      </c>
      <c r="E109" s="2">
        <v>16</v>
      </c>
      <c r="F109" s="2">
        <v>9</v>
      </c>
      <c r="G109" s="2">
        <v>7</v>
      </c>
      <c r="H109" s="2">
        <v>2</v>
      </c>
      <c r="I109" s="2">
        <v>5</v>
      </c>
      <c r="J109" s="2">
        <v>4</v>
      </c>
      <c r="K109" s="2">
        <v>4</v>
      </c>
      <c r="L109" s="2">
        <v>5</v>
      </c>
      <c r="M109" s="2">
        <v>1</v>
      </c>
      <c r="N109" s="3">
        <v>0</v>
      </c>
      <c r="O109" s="3" t="s">
        <v>201</v>
      </c>
      <c r="P109" s="3" t="s">
        <v>201</v>
      </c>
      <c r="Q109" s="3" t="s">
        <v>201</v>
      </c>
      <c r="R109" s="3" t="s">
        <v>201</v>
      </c>
      <c r="S109" s="3" t="s">
        <v>201</v>
      </c>
      <c r="T109" s="3" t="s">
        <v>201</v>
      </c>
      <c r="U109" s="3" t="s">
        <v>201</v>
      </c>
      <c r="V109" s="3" t="s">
        <v>201</v>
      </c>
      <c r="W109" s="3" t="s">
        <v>201</v>
      </c>
      <c r="X109" s="3" t="s">
        <v>201</v>
      </c>
      <c r="Y109" s="3" t="s">
        <v>201</v>
      </c>
      <c r="Z109" s="3" t="s">
        <v>201</v>
      </c>
      <c r="AA109" s="3" t="s">
        <v>201</v>
      </c>
      <c r="AB109" s="3" t="s">
        <v>201</v>
      </c>
      <c r="AC109" s="3" t="s">
        <v>201</v>
      </c>
      <c r="AD109" s="3" t="s">
        <v>201</v>
      </c>
      <c r="AE109" s="3" t="s">
        <v>201</v>
      </c>
      <c r="AF109" s="3" t="s">
        <v>201</v>
      </c>
      <c r="AG109" s="3" t="s">
        <v>201</v>
      </c>
      <c r="AH109" s="3" t="s">
        <v>201</v>
      </c>
      <c r="AI109" s="3" t="s">
        <v>201</v>
      </c>
      <c r="AJ109" s="3" t="s">
        <v>201</v>
      </c>
      <c r="AK109" s="3" t="s">
        <v>201</v>
      </c>
      <c r="AL109" s="3" t="s">
        <v>201</v>
      </c>
      <c r="AM109" s="3" t="s">
        <v>201</v>
      </c>
      <c r="AN109" s="3" t="s">
        <v>201</v>
      </c>
      <c r="AO109" s="3" t="s">
        <v>201</v>
      </c>
      <c r="AP109" s="3" t="s">
        <v>201</v>
      </c>
      <c r="AQ109" s="3" t="s">
        <v>201</v>
      </c>
      <c r="AR109" s="3" t="s">
        <v>201</v>
      </c>
      <c r="AS109" s="3" t="s">
        <v>201</v>
      </c>
      <c r="AT109" s="3" t="s">
        <v>201</v>
      </c>
      <c r="AU109" s="3" t="s">
        <v>201</v>
      </c>
      <c r="AV109" s="3" t="s">
        <v>201</v>
      </c>
      <c r="AW109" s="3" t="s">
        <v>201</v>
      </c>
      <c r="AX109" s="3" t="s">
        <v>201</v>
      </c>
      <c r="AY109" s="3" t="s">
        <v>201</v>
      </c>
      <c r="AZ109" s="3" t="s">
        <v>201</v>
      </c>
      <c r="BA109" s="3" t="s">
        <v>201</v>
      </c>
      <c r="BB109" s="3" t="s">
        <v>201</v>
      </c>
      <c r="BC109" s="3" t="s">
        <v>201</v>
      </c>
      <c r="BD109" s="3" t="s">
        <v>201</v>
      </c>
      <c r="BE109" s="3" t="s">
        <v>201</v>
      </c>
      <c r="BF109" s="3" t="s">
        <v>201</v>
      </c>
      <c r="BG109" s="3" t="s">
        <v>201</v>
      </c>
      <c r="BH109" s="3" t="s">
        <v>201</v>
      </c>
      <c r="BI109" s="3" t="s">
        <v>201</v>
      </c>
      <c r="BJ109" s="3" t="s">
        <v>201</v>
      </c>
      <c r="BK109" s="3" t="s">
        <v>201</v>
      </c>
      <c r="BL109" s="3" t="s">
        <v>201</v>
      </c>
      <c r="BM109" s="3" t="s">
        <v>201</v>
      </c>
      <c r="BN109" s="3" t="s">
        <v>201</v>
      </c>
      <c r="BO109" s="3" t="s">
        <v>201</v>
      </c>
      <c r="BP109" s="3" t="s">
        <v>201</v>
      </c>
      <c r="BQ109" s="3" t="s">
        <v>201</v>
      </c>
      <c r="BR109" s="3" t="s">
        <v>201</v>
      </c>
      <c r="BS109" s="3" t="s">
        <v>201</v>
      </c>
      <c r="BT109" s="3" t="s">
        <v>201</v>
      </c>
      <c r="BU109" s="3" t="s">
        <v>201</v>
      </c>
      <c r="BV109" s="3" t="s">
        <v>201</v>
      </c>
      <c r="BW109" s="3" t="s">
        <v>201</v>
      </c>
      <c r="BX109" s="3" t="s">
        <v>201</v>
      </c>
      <c r="BY109" s="3" t="s">
        <v>201</v>
      </c>
      <c r="BZ109" s="3" t="s">
        <v>201</v>
      </c>
      <c r="CA109" s="3" t="s">
        <v>201</v>
      </c>
      <c r="CB109" s="3" t="s">
        <v>201</v>
      </c>
      <c r="CC109" s="3" t="s">
        <v>201</v>
      </c>
      <c r="CD109" s="3" t="s">
        <v>201</v>
      </c>
      <c r="CE109" s="3" t="s">
        <v>201</v>
      </c>
      <c r="CF109" s="3" t="s">
        <v>201</v>
      </c>
      <c r="CG109" s="3" t="s">
        <v>201</v>
      </c>
      <c r="CH109" s="3" t="s">
        <v>201</v>
      </c>
      <c r="CI109" s="3" t="s">
        <v>201</v>
      </c>
      <c r="CJ109" s="3" t="s">
        <v>201</v>
      </c>
      <c r="CK109" s="3" t="s">
        <v>201</v>
      </c>
      <c r="CL109" s="3" t="s">
        <v>201</v>
      </c>
      <c r="CM109" s="3" t="s">
        <v>201</v>
      </c>
      <c r="CN109" s="3" t="s">
        <v>201</v>
      </c>
      <c r="CO109" s="3" t="s">
        <v>201</v>
      </c>
      <c r="CP109" s="3" t="s">
        <v>201</v>
      </c>
      <c r="CQ109" s="3" t="s">
        <v>201</v>
      </c>
      <c r="CR109" s="3" t="s">
        <v>201</v>
      </c>
      <c r="CS109" s="3" t="s">
        <v>201</v>
      </c>
      <c r="CT109" s="3" t="s">
        <v>201</v>
      </c>
      <c r="CU109" s="3" t="s">
        <v>201</v>
      </c>
      <c r="CV109" s="3" t="s">
        <v>201</v>
      </c>
      <c r="CW109" s="3" t="s">
        <v>201</v>
      </c>
      <c r="CX109" s="3" t="s">
        <v>201</v>
      </c>
      <c r="CY109" s="3" t="s">
        <v>201</v>
      </c>
      <c r="CZ109" s="3" t="s">
        <v>201</v>
      </c>
      <c r="DA109" s="3" t="s">
        <v>201</v>
      </c>
      <c r="DB109" s="3" t="s">
        <v>201</v>
      </c>
      <c r="DC109" s="3" t="s">
        <v>201</v>
      </c>
      <c r="DD109" s="3" t="s">
        <v>201</v>
      </c>
      <c r="DE109" s="3" t="s">
        <v>201</v>
      </c>
      <c r="DF109" s="3" t="s">
        <v>201</v>
      </c>
      <c r="DG109" s="3" t="s">
        <v>201</v>
      </c>
      <c r="DH109" s="3" t="s">
        <v>201</v>
      </c>
      <c r="DI109" s="3" t="s">
        <v>201</v>
      </c>
      <c r="DJ109" s="3" t="s">
        <v>201</v>
      </c>
      <c r="DK109" s="3" t="s">
        <v>201</v>
      </c>
      <c r="DL109" s="3" t="s">
        <v>201</v>
      </c>
      <c r="DM109" s="3" t="s">
        <v>201</v>
      </c>
      <c r="DN109" s="3" t="s">
        <v>201</v>
      </c>
      <c r="DO109" s="3" t="s">
        <v>201</v>
      </c>
      <c r="DP109" s="3" t="s">
        <v>201</v>
      </c>
      <c r="DQ109" s="3" t="s">
        <v>201</v>
      </c>
      <c r="DR109">
        <f t="shared" si="2"/>
        <v>2023</v>
      </c>
    </row>
    <row r="110" spans="1:122" x14ac:dyDescent="0.35">
      <c r="A110" s="4">
        <f t="shared" si="3"/>
        <v>45292</v>
      </c>
      <c r="B110" s="5">
        <v>34</v>
      </c>
      <c r="C110" s="5">
        <v>18</v>
      </c>
      <c r="D110" s="5">
        <v>24</v>
      </c>
      <c r="E110" s="5">
        <v>11</v>
      </c>
      <c r="F110" s="5">
        <v>8</v>
      </c>
      <c r="G110" s="5">
        <v>8</v>
      </c>
      <c r="H110" s="5">
        <v>9</v>
      </c>
      <c r="I110" s="5">
        <v>3</v>
      </c>
      <c r="J110" s="5">
        <v>2</v>
      </c>
      <c r="K110" s="5">
        <v>1</v>
      </c>
      <c r="L110" s="5">
        <v>1</v>
      </c>
      <c r="M110" s="5">
        <v>0</v>
      </c>
      <c r="N110" s="5" t="s">
        <v>201</v>
      </c>
      <c r="O110" s="5" t="s">
        <v>201</v>
      </c>
      <c r="P110" s="5" t="s">
        <v>201</v>
      </c>
      <c r="Q110" s="5" t="s">
        <v>201</v>
      </c>
      <c r="R110" s="5" t="s">
        <v>201</v>
      </c>
      <c r="S110" s="5" t="s">
        <v>201</v>
      </c>
      <c r="T110" s="5" t="s">
        <v>201</v>
      </c>
      <c r="U110" s="5" t="s">
        <v>201</v>
      </c>
      <c r="V110" s="5" t="s">
        <v>201</v>
      </c>
      <c r="W110" s="5" t="s">
        <v>201</v>
      </c>
      <c r="X110" s="5" t="s">
        <v>201</v>
      </c>
      <c r="Y110" s="5" t="s">
        <v>201</v>
      </c>
      <c r="Z110" s="5" t="s">
        <v>201</v>
      </c>
      <c r="AA110" s="5" t="s">
        <v>201</v>
      </c>
      <c r="AB110" s="5" t="s">
        <v>201</v>
      </c>
      <c r="AC110" s="5" t="s">
        <v>201</v>
      </c>
      <c r="AD110" s="5" t="s">
        <v>201</v>
      </c>
      <c r="AE110" s="5" t="s">
        <v>201</v>
      </c>
      <c r="AF110" s="5" t="s">
        <v>201</v>
      </c>
      <c r="AG110" s="5" t="s">
        <v>201</v>
      </c>
      <c r="AH110" s="5" t="s">
        <v>201</v>
      </c>
      <c r="AI110" s="5" t="s">
        <v>201</v>
      </c>
      <c r="AJ110" s="5" t="s">
        <v>201</v>
      </c>
      <c r="AK110" s="5" t="s">
        <v>201</v>
      </c>
      <c r="AL110" s="5" t="s">
        <v>201</v>
      </c>
      <c r="AM110" s="5" t="s">
        <v>201</v>
      </c>
      <c r="AN110" s="5" t="s">
        <v>201</v>
      </c>
      <c r="AO110" s="5" t="s">
        <v>201</v>
      </c>
      <c r="AP110" s="5" t="s">
        <v>201</v>
      </c>
      <c r="AQ110" s="5" t="s">
        <v>201</v>
      </c>
      <c r="AR110" s="5" t="s">
        <v>201</v>
      </c>
      <c r="AS110" s="5" t="s">
        <v>201</v>
      </c>
      <c r="AT110" s="5" t="s">
        <v>201</v>
      </c>
      <c r="AU110" s="5" t="s">
        <v>201</v>
      </c>
      <c r="AV110" s="5" t="s">
        <v>201</v>
      </c>
      <c r="AW110" s="5" t="s">
        <v>201</v>
      </c>
      <c r="AX110" s="5" t="s">
        <v>201</v>
      </c>
      <c r="AY110" s="5" t="s">
        <v>201</v>
      </c>
      <c r="AZ110" s="5" t="s">
        <v>201</v>
      </c>
      <c r="BA110" s="5" t="s">
        <v>201</v>
      </c>
      <c r="BB110" s="5" t="s">
        <v>201</v>
      </c>
      <c r="BC110" s="5" t="s">
        <v>201</v>
      </c>
      <c r="BD110" s="5" t="s">
        <v>201</v>
      </c>
      <c r="BE110" s="5" t="s">
        <v>201</v>
      </c>
      <c r="BF110" s="5" t="s">
        <v>201</v>
      </c>
      <c r="BG110" s="5" t="s">
        <v>201</v>
      </c>
      <c r="BH110" s="5" t="s">
        <v>201</v>
      </c>
      <c r="BI110" s="5" t="s">
        <v>201</v>
      </c>
      <c r="BJ110" s="5" t="s">
        <v>201</v>
      </c>
      <c r="BK110" s="5" t="s">
        <v>201</v>
      </c>
      <c r="BL110" s="5" t="s">
        <v>201</v>
      </c>
      <c r="BM110" s="5" t="s">
        <v>201</v>
      </c>
      <c r="BN110" s="5" t="s">
        <v>201</v>
      </c>
      <c r="BO110" s="5" t="s">
        <v>201</v>
      </c>
      <c r="BP110" s="5" t="s">
        <v>201</v>
      </c>
      <c r="BQ110" s="5" t="s">
        <v>201</v>
      </c>
      <c r="BR110" s="5" t="s">
        <v>201</v>
      </c>
      <c r="BS110" s="5" t="s">
        <v>201</v>
      </c>
      <c r="BT110" s="5" t="s">
        <v>201</v>
      </c>
      <c r="BU110" s="5" t="s">
        <v>201</v>
      </c>
      <c r="BV110" s="5" t="s">
        <v>201</v>
      </c>
      <c r="BW110" s="5" t="s">
        <v>201</v>
      </c>
      <c r="BX110" s="5" t="s">
        <v>201</v>
      </c>
      <c r="BY110" s="5" t="s">
        <v>201</v>
      </c>
      <c r="BZ110" s="5" t="s">
        <v>201</v>
      </c>
      <c r="CA110" s="5" t="s">
        <v>201</v>
      </c>
      <c r="CB110" s="5" t="s">
        <v>201</v>
      </c>
      <c r="CC110" s="5" t="s">
        <v>201</v>
      </c>
      <c r="CD110" s="5" t="s">
        <v>201</v>
      </c>
      <c r="CE110" s="5" t="s">
        <v>201</v>
      </c>
      <c r="CF110" s="5" t="s">
        <v>201</v>
      </c>
      <c r="CG110" s="5" t="s">
        <v>201</v>
      </c>
      <c r="CH110" s="5" t="s">
        <v>201</v>
      </c>
      <c r="CI110" s="5" t="s">
        <v>201</v>
      </c>
      <c r="CJ110" s="5" t="s">
        <v>201</v>
      </c>
      <c r="CK110" s="5" t="s">
        <v>201</v>
      </c>
      <c r="CL110" s="5" t="s">
        <v>201</v>
      </c>
      <c r="CM110" s="5" t="s">
        <v>201</v>
      </c>
      <c r="CN110" s="5" t="s">
        <v>201</v>
      </c>
      <c r="CO110" s="5" t="s">
        <v>201</v>
      </c>
      <c r="CP110" s="5" t="s">
        <v>201</v>
      </c>
      <c r="CQ110" s="5" t="s">
        <v>201</v>
      </c>
      <c r="CR110" s="5" t="s">
        <v>201</v>
      </c>
      <c r="CS110" s="5" t="s">
        <v>201</v>
      </c>
      <c r="CT110" s="5" t="s">
        <v>201</v>
      </c>
      <c r="CU110" s="5" t="s">
        <v>201</v>
      </c>
      <c r="CV110" s="5" t="s">
        <v>201</v>
      </c>
      <c r="CW110" s="5" t="s">
        <v>201</v>
      </c>
      <c r="CX110" s="5" t="s">
        <v>201</v>
      </c>
      <c r="CY110" s="5" t="s">
        <v>201</v>
      </c>
      <c r="CZ110" s="5" t="s">
        <v>201</v>
      </c>
      <c r="DA110" s="5" t="s">
        <v>201</v>
      </c>
      <c r="DB110" s="5" t="s">
        <v>201</v>
      </c>
      <c r="DC110" s="5" t="s">
        <v>201</v>
      </c>
      <c r="DD110" s="5" t="s">
        <v>201</v>
      </c>
      <c r="DE110" s="5" t="s">
        <v>201</v>
      </c>
      <c r="DF110" s="5" t="s">
        <v>201</v>
      </c>
      <c r="DG110" s="5" t="s">
        <v>201</v>
      </c>
      <c r="DH110" s="5" t="s">
        <v>201</v>
      </c>
      <c r="DI110" s="5" t="s">
        <v>201</v>
      </c>
      <c r="DJ110" s="5" t="s">
        <v>201</v>
      </c>
      <c r="DK110" s="5" t="s">
        <v>201</v>
      </c>
      <c r="DL110" s="5" t="s">
        <v>201</v>
      </c>
      <c r="DM110" s="5" t="s">
        <v>201</v>
      </c>
      <c r="DN110" s="5" t="s">
        <v>201</v>
      </c>
      <c r="DO110" s="5" t="s">
        <v>201</v>
      </c>
      <c r="DP110" s="5" t="s">
        <v>201</v>
      </c>
      <c r="DQ110" s="5" t="s">
        <v>201</v>
      </c>
      <c r="DR110">
        <f t="shared" si="2"/>
        <v>2024</v>
      </c>
    </row>
    <row r="111" spans="1:122" x14ac:dyDescent="0.35">
      <c r="A111" s="1">
        <f t="shared" si="3"/>
        <v>45323</v>
      </c>
      <c r="B111" s="2">
        <v>37</v>
      </c>
      <c r="C111" s="2">
        <v>16</v>
      </c>
      <c r="D111" s="2">
        <v>19</v>
      </c>
      <c r="E111" s="2">
        <v>6</v>
      </c>
      <c r="F111" s="2">
        <v>7</v>
      </c>
      <c r="G111" s="2">
        <v>2</v>
      </c>
      <c r="H111" s="2">
        <v>1</v>
      </c>
      <c r="I111" s="2">
        <v>0</v>
      </c>
      <c r="J111" s="2">
        <v>1</v>
      </c>
      <c r="K111" s="2">
        <v>2</v>
      </c>
      <c r="L111" s="2">
        <v>3</v>
      </c>
      <c r="M111" s="2" t="s">
        <v>201</v>
      </c>
      <c r="N111" s="3" t="s">
        <v>201</v>
      </c>
      <c r="O111" s="3" t="s">
        <v>201</v>
      </c>
      <c r="P111" s="3" t="s">
        <v>201</v>
      </c>
      <c r="Q111" s="3" t="s">
        <v>201</v>
      </c>
      <c r="R111" s="3" t="s">
        <v>201</v>
      </c>
      <c r="S111" s="3" t="s">
        <v>201</v>
      </c>
      <c r="T111" s="3" t="s">
        <v>201</v>
      </c>
      <c r="U111" s="3" t="s">
        <v>201</v>
      </c>
      <c r="V111" s="3" t="s">
        <v>201</v>
      </c>
      <c r="W111" s="3" t="s">
        <v>201</v>
      </c>
      <c r="X111" s="3" t="s">
        <v>201</v>
      </c>
      <c r="Y111" s="3" t="s">
        <v>201</v>
      </c>
      <c r="Z111" s="3" t="s">
        <v>201</v>
      </c>
      <c r="AA111" s="3" t="s">
        <v>201</v>
      </c>
      <c r="AB111" s="3" t="s">
        <v>201</v>
      </c>
      <c r="AC111" s="3" t="s">
        <v>201</v>
      </c>
      <c r="AD111" s="3" t="s">
        <v>201</v>
      </c>
      <c r="AE111" s="3" t="s">
        <v>201</v>
      </c>
      <c r="AF111" s="3" t="s">
        <v>201</v>
      </c>
      <c r="AG111" s="3" t="s">
        <v>201</v>
      </c>
      <c r="AH111" s="3" t="s">
        <v>201</v>
      </c>
      <c r="AI111" s="3" t="s">
        <v>201</v>
      </c>
      <c r="AJ111" s="3" t="s">
        <v>201</v>
      </c>
      <c r="AK111" s="3" t="s">
        <v>201</v>
      </c>
      <c r="AL111" s="3" t="s">
        <v>201</v>
      </c>
      <c r="AM111" s="3" t="s">
        <v>201</v>
      </c>
      <c r="AN111" s="3" t="s">
        <v>201</v>
      </c>
      <c r="AO111" s="3" t="s">
        <v>201</v>
      </c>
      <c r="AP111" s="3" t="s">
        <v>201</v>
      </c>
      <c r="AQ111" s="3" t="s">
        <v>201</v>
      </c>
      <c r="AR111" s="3" t="s">
        <v>201</v>
      </c>
      <c r="AS111" s="3" t="s">
        <v>201</v>
      </c>
      <c r="AT111" s="3" t="s">
        <v>201</v>
      </c>
      <c r="AU111" s="3" t="s">
        <v>201</v>
      </c>
      <c r="AV111" s="3" t="s">
        <v>201</v>
      </c>
      <c r="AW111" s="3" t="s">
        <v>201</v>
      </c>
      <c r="AX111" s="3" t="s">
        <v>201</v>
      </c>
      <c r="AY111" s="3" t="s">
        <v>201</v>
      </c>
      <c r="AZ111" s="3" t="s">
        <v>201</v>
      </c>
      <c r="BA111" s="3" t="s">
        <v>201</v>
      </c>
      <c r="BB111" s="3" t="s">
        <v>201</v>
      </c>
      <c r="BC111" s="3" t="s">
        <v>201</v>
      </c>
      <c r="BD111" s="3" t="s">
        <v>201</v>
      </c>
      <c r="BE111" s="3" t="s">
        <v>201</v>
      </c>
      <c r="BF111" s="3" t="s">
        <v>201</v>
      </c>
      <c r="BG111" s="3" t="s">
        <v>201</v>
      </c>
      <c r="BH111" s="3" t="s">
        <v>201</v>
      </c>
      <c r="BI111" s="3" t="s">
        <v>201</v>
      </c>
      <c r="BJ111" s="3" t="s">
        <v>201</v>
      </c>
      <c r="BK111" s="3" t="s">
        <v>201</v>
      </c>
      <c r="BL111" s="3" t="s">
        <v>201</v>
      </c>
      <c r="BM111" s="3" t="s">
        <v>201</v>
      </c>
      <c r="BN111" s="3" t="s">
        <v>201</v>
      </c>
      <c r="BO111" s="3" t="s">
        <v>201</v>
      </c>
      <c r="BP111" s="3" t="s">
        <v>201</v>
      </c>
      <c r="BQ111" s="3" t="s">
        <v>201</v>
      </c>
      <c r="BR111" s="3" t="s">
        <v>201</v>
      </c>
      <c r="BS111" s="3" t="s">
        <v>201</v>
      </c>
      <c r="BT111" s="3" t="s">
        <v>201</v>
      </c>
      <c r="BU111" s="3" t="s">
        <v>201</v>
      </c>
      <c r="BV111" s="3" t="s">
        <v>201</v>
      </c>
      <c r="BW111" s="3" t="s">
        <v>201</v>
      </c>
      <c r="BX111" s="3" t="s">
        <v>201</v>
      </c>
      <c r="BY111" s="3" t="s">
        <v>201</v>
      </c>
      <c r="BZ111" s="3" t="s">
        <v>201</v>
      </c>
      <c r="CA111" s="3" t="s">
        <v>201</v>
      </c>
      <c r="CB111" s="3" t="s">
        <v>201</v>
      </c>
      <c r="CC111" s="3" t="s">
        <v>201</v>
      </c>
      <c r="CD111" s="3" t="s">
        <v>201</v>
      </c>
      <c r="CE111" s="3" t="s">
        <v>201</v>
      </c>
      <c r="CF111" s="3" t="s">
        <v>201</v>
      </c>
      <c r="CG111" s="3" t="s">
        <v>201</v>
      </c>
      <c r="CH111" s="3" t="s">
        <v>201</v>
      </c>
      <c r="CI111" s="3" t="s">
        <v>201</v>
      </c>
      <c r="CJ111" s="3" t="s">
        <v>201</v>
      </c>
      <c r="CK111" s="3" t="s">
        <v>201</v>
      </c>
      <c r="CL111" s="3" t="s">
        <v>201</v>
      </c>
      <c r="CM111" s="3" t="s">
        <v>201</v>
      </c>
      <c r="CN111" s="3" t="s">
        <v>201</v>
      </c>
      <c r="CO111" s="3" t="s">
        <v>201</v>
      </c>
      <c r="CP111" s="3" t="s">
        <v>201</v>
      </c>
      <c r="CQ111" s="3" t="s">
        <v>201</v>
      </c>
      <c r="CR111" s="3" t="s">
        <v>201</v>
      </c>
      <c r="CS111" s="3" t="s">
        <v>201</v>
      </c>
      <c r="CT111" s="3" t="s">
        <v>201</v>
      </c>
      <c r="CU111" s="3" t="s">
        <v>201</v>
      </c>
      <c r="CV111" s="3" t="s">
        <v>201</v>
      </c>
      <c r="CW111" s="3" t="s">
        <v>201</v>
      </c>
      <c r="CX111" s="3" t="s">
        <v>201</v>
      </c>
      <c r="CY111" s="3" t="s">
        <v>201</v>
      </c>
      <c r="CZ111" s="3" t="s">
        <v>201</v>
      </c>
      <c r="DA111" s="3" t="s">
        <v>201</v>
      </c>
      <c r="DB111" s="3" t="s">
        <v>201</v>
      </c>
      <c r="DC111" s="3" t="s">
        <v>201</v>
      </c>
      <c r="DD111" s="3" t="s">
        <v>201</v>
      </c>
      <c r="DE111" s="3" t="s">
        <v>201</v>
      </c>
      <c r="DF111" s="3" t="s">
        <v>201</v>
      </c>
      <c r="DG111" s="3" t="s">
        <v>201</v>
      </c>
      <c r="DH111" s="3" t="s">
        <v>201</v>
      </c>
      <c r="DI111" s="3" t="s">
        <v>201</v>
      </c>
      <c r="DJ111" s="3" t="s">
        <v>201</v>
      </c>
      <c r="DK111" s="3" t="s">
        <v>201</v>
      </c>
      <c r="DL111" s="3" t="s">
        <v>201</v>
      </c>
      <c r="DM111" s="3" t="s">
        <v>201</v>
      </c>
      <c r="DN111" s="3" t="s">
        <v>201</v>
      </c>
      <c r="DO111" s="3" t="s">
        <v>201</v>
      </c>
      <c r="DP111" s="3" t="s">
        <v>201</v>
      </c>
      <c r="DQ111" s="3" t="s">
        <v>201</v>
      </c>
      <c r="DR111">
        <f t="shared" si="2"/>
        <v>2024</v>
      </c>
    </row>
    <row r="112" spans="1:122" x14ac:dyDescent="0.35">
      <c r="A112" s="1">
        <f t="shared" si="3"/>
        <v>45352</v>
      </c>
      <c r="B112" s="2">
        <v>32</v>
      </c>
      <c r="C112" s="2">
        <v>9</v>
      </c>
      <c r="D112" s="2">
        <v>7</v>
      </c>
      <c r="E112" s="2">
        <v>6</v>
      </c>
      <c r="F112" s="2">
        <v>6</v>
      </c>
      <c r="G112" s="2">
        <v>3</v>
      </c>
      <c r="H112" s="2">
        <v>2</v>
      </c>
      <c r="I112" s="2">
        <v>4</v>
      </c>
      <c r="J112" s="2">
        <v>0</v>
      </c>
      <c r="K112" s="2">
        <v>1</v>
      </c>
      <c r="L112" s="2" t="s">
        <v>201</v>
      </c>
      <c r="M112" s="2" t="s">
        <v>201</v>
      </c>
      <c r="N112" s="3" t="s">
        <v>201</v>
      </c>
      <c r="O112" s="3" t="s">
        <v>201</v>
      </c>
      <c r="P112" s="3" t="s">
        <v>201</v>
      </c>
      <c r="Q112" s="3" t="s">
        <v>201</v>
      </c>
      <c r="R112" s="3" t="s">
        <v>201</v>
      </c>
      <c r="S112" s="3" t="s">
        <v>201</v>
      </c>
      <c r="T112" s="3" t="s">
        <v>201</v>
      </c>
      <c r="U112" s="3" t="s">
        <v>201</v>
      </c>
      <c r="V112" s="3" t="s">
        <v>201</v>
      </c>
      <c r="W112" s="3" t="s">
        <v>201</v>
      </c>
      <c r="X112" s="3" t="s">
        <v>201</v>
      </c>
      <c r="Y112" s="3" t="s">
        <v>201</v>
      </c>
      <c r="Z112" s="3" t="s">
        <v>201</v>
      </c>
      <c r="AA112" s="3" t="s">
        <v>201</v>
      </c>
      <c r="AB112" s="3" t="s">
        <v>201</v>
      </c>
      <c r="AC112" s="3" t="s">
        <v>201</v>
      </c>
      <c r="AD112" s="3" t="s">
        <v>201</v>
      </c>
      <c r="AE112" s="3" t="s">
        <v>201</v>
      </c>
      <c r="AF112" s="3" t="s">
        <v>201</v>
      </c>
      <c r="AG112" s="3" t="s">
        <v>201</v>
      </c>
      <c r="AH112" s="3" t="s">
        <v>201</v>
      </c>
      <c r="AI112" s="3" t="s">
        <v>201</v>
      </c>
      <c r="AJ112" s="3" t="s">
        <v>201</v>
      </c>
      <c r="AK112" s="3" t="s">
        <v>201</v>
      </c>
      <c r="AL112" s="3" t="s">
        <v>201</v>
      </c>
      <c r="AM112" s="3" t="s">
        <v>201</v>
      </c>
      <c r="AN112" s="3" t="s">
        <v>201</v>
      </c>
      <c r="AO112" s="3" t="s">
        <v>201</v>
      </c>
      <c r="AP112" s="3" t="s">
        <v>201</v>
      </c>
      <c r="AQ112" s="3" t="s">
        <v>201</v>
      </c>
      <c r="AR112" s="3" t="s">
        <v>201</v>
      </c>
      <c r="AS112" s="3" t="s">
        <v>201</v>
      </c>
      <c r="AT112" s="3" t="s">
        <v>201</v>
      </c>
      <c r="AU112" s="3" t="s">
        <v>201</v>
      </c>
      <c r="AV112" s="3" t="s">
        <v>201</v>
      </c>
      <c r="AW112" s="3" t="s">
        <v>201</v>
      </c>
      <c r="AX112" s="3" t="s">
        <v>201</v>
      </c>
      <c r="AY112" s="3" t="s">
        <v>201</v>
      </c>
      <c r="AZ112" s="3" t="s">
        <v>201</v>
      </c>
      <c r="BA112" s="3" t="s">
        <v>201</v>
      </c>
      <c r="BB112" s="3" t="s">
        <v>201</v>
      </c>
      <c r="BC112" s="3" t="s">
        <v>201</v>
      </c>
      <c r="BD112" s="3" t="s">
        <v>201</v>
      </c>
      <c r="BE112" s="3" t="s">
        <v>201</v>
      </c>
      <c r="BF112" s="3" t="s">
        <v>201</v>
      </c>
      <c r="BG112" s="3" t="s">
        <v>201</v>
      </c>
      <c r="BH112" s="3" t="s">
        <v>201</v>
      </c>
      <c r="BI112" s="3" t="s">
        <v>201</v>
      </c>
      <c r="BJ112" s="3" t="s">
        <v>201</v>
      </c>
      <c r="BK112" s="3" t="s">
        <v>201</v>
      </c>
      <c r="BL112" s="3" t="s">
        <v>201</v>
      </c>
      <c r="BM112" s="3" t="s">
        <v>201</v>
      </c>
      <c r="BN112" s="3" t="s">
        <v>201</v>
      </c>
      <c r="BO112" s="3" t="s">
        <v>201</v>
      </c>
      <c r="BP112" s="3" t="s">
        <v>201</v>
      </c>
      <c r="BQ112" s="3" t="s">
        <v>201</v>
      </c>
      <c r="BR112" s="3" t="s">
        <v>201</v>
      </c>
      <c r="BS112" s="3" t="s">
        <v>201</v>
      </c>
      <c r="BT112" s="3" t="s">
        <v>201</v>
      </c>
      <c r="BU112" s="3" t="s">
        <v>201</v>
      </c>
      <c r="BV112" s="3" t="s">
        <v>201</v>
      </c>
      <c r="BW112" s="3" t="s">
        <v>201</v>
      </c>
      <c r="BX112" s="3" t="s">
        <v>201</v>
      </c>
      <c r="BY112" s="3" t="s">
        <v>201</v>
      </c>
      <c r="BZ112" s="3" t="s">
        <v>201</v>
      </c>
      <c r="CA112" s="3" t="s">
        <v>201</v>
      </c>
      <c r="CB112" s="3" t="s">
        <v>201</v>
      </c>
      <c r="CC112" s="3" t="s">
        <v>201</v>
      </c>
      <c r="CD112" s="3" t="s">
        <v>201</v>
      </c>
      <c r="CE112" s="3" t="s">
        <v>201</v>
      </c>
      <c r="CF112" s="3" t="s">
        <v>201</v>
      </c>
      <c r="CG112" s="3" t="s">
        <v>201</v>
      </c>
      <c r="CH112" s="3" t="s">
        <v>201</v>
      </c>
      <c r="CI112" s="3" t="s">
        <v>201</v>
      </c>
      <c r="CJ112" s="3" t="s">
        <v>201</v>
      </c>
      <c r="CK112" s="3" t="s">
        <v>201</v>
      </c>
      <c r="CL112" s="3" t="s">
        <v>201</v>
      </c>
      <c r="CM112" s="3" t="s">
        <v>201</v>
      </c>
      <c r="CN112" s="3" t="s">
        <v>201</v>
      </c>
      <c r="CO112" s="3" t="s">
        <v>201</v>
      </c>
      <c r="CP112" s="3" t="s">
        <v>201</v>
      </c>
      <c r="CQ112" s="3" t="s">
        <v>201</v>
      </c>
      <c r="CR112" s="3" t="s">
        <v>201</v>
      </c>
      <c r="CS112" s="3" t="s">
        <v>201</v>
      </c>
      <c r="CT112" s="3" t="s">
        <v>201</v>
      </c>
      <c r="CU112" s="3" t="s">
        <v>201</v>
      </c>
      <c r="CV112" s="3" t="s">
        <v>201</v>
      </c>
      <c r="CW112" s="3" t="s">
        <v>201</v>
      </c>
      <c r="CX112" s="3" t="s">
        <v>201</v>
      </c>
      <c r="CY112" s="3" t="s">
        <v>201</v>
      </c>
      <c r="CZ112" s="3" t="s">
        <v>201</v>
      </c>
      <c r="DA112" s="3" t="s">
        <v>201</v>
      </c>
      <c r="DB112" s="3" t="s">
        <v>201</v>
      </c>
      <c r="DC112" s="3" t="s">
        <v>201</v>
      </c>
      <c r="DD112" s="3" t="s">
        <v>201</v>
      </c>
      <c r="DE112" s="3" t="s">
        <v>201</v>
      </c>
      <c r="DF112" s="3" t="s">
        <v>201</v>
      </c>
      <c r="DG112" s="3" t="s">
        <v>201</v>
      </c>
      <c r="DH112" s="3" t="s">
        <v>201</v>
      </c>
      <c r="DI112" s="3" t="s">
        <v>201</v>
      </c>
      <c r="DJ112" s="3" t="s">
        <v>201</v>
      </c>
      <c r="DK112" s="3" t="s">
        <v>201</v>
      </c>
      <c r="DL112" s="3" t="s">
        <v>201</v>
      </c>
      <c r="DM112" s="3" t="s">
        <v>201</v>
      </c>
      <c r="DN112" s="3" t="s">
        <v>201</v>
      </c>
      <c r="DO112" s="3" t="s">
        <v>201</v>
      </c>
      <c r="DP112" s="3" t="s">
        <v>201</v>
      </c>
      <c r="DQ112" s="3" t="s">
        <v>201</v>
      </c>
      <c r="DR112">
        <f t="shared" si="2"/>
        <v>2024</v>
      </c>
    </row>
    <row r="113" spans="1:122" x14ac:dyDescent="0.35">
      <c r="A113" s="1">
        <f t="shared" si="3"/>
        <v>45383</v>
      </c>
      <c r="B113" s="2">
        <v>27</v>
      </c>
      <c r="C113" s="2">
        <v>10</v>
      </c>
      <c r="D113" s="2">
        <v>10</v>
      </c>
      <c r="E113" s="2">
        <v>9</v>
      </c>
      <c r="F113" s="2">
        <v>3</v>
      </c>
      <c r="G113" s="2">
        <v>5</v>
      </c>
      <c r="H113" s="2">
        <v>5</v>
      </c>
      <c r="I113" s="2">
        <v>2</v>
      </c>
      <c r="J113" s="2">
        <v>0</v>
      </c>
      <c r="K113" s="2" t="s">
        <v>201</v>
      </c>
      <c r="L113" s="2" t="s">
        <v>201</v>
      </c>
      <c r="M113" s="2" t="s">
        <v>201</v>
      </c>
      <c r="N113" s="3" t="s">
        <v>201</v>
      </c>
      <c r="O113" s="3" t="s">
        <v>201</v>
      </c>
      <c r="P113" s="3" t="s">
        <v>201</v>
      </c>
      <c r="Q113" s="3" t="s">
        <v>201</v>
      </c>
      <c r="R113" s="3" t="s">
        <v>201</v>
      </c>
      <c r="S113" s="3" t="s">
        <v>201</v>
      </c>
      <c r="T113" s="3" t="s">
        <v>201</v>
      </c>
      <c r="U113" s="3" t="s">
        <v>201</v>
      </c>
      <c r="V113" s="3" t="s">
        <v>201</v>
      </c>
      <c r="W113" s="3" t="s">
        <v>201</v>
      </c>
      <c r="X113" s="3" t="s">
        <v>201</v>
      </c>
      <c r="Y113" s="3" t="s">
        <v>201</v>
      </c>
      <c r="Z113" s="3" t="s">
        <v>201</v>
      </c>
      <c r="AA113" s="3" t="s">
        <v>201</v>
      </c>
      <c r="AB113" s="3" t="s">
        <v>201</v>
      </c>
      <c r="AC113" s="3" t="s">
        <v>201</v>
      </c>
      <c r="AD113" s="3" t="s">
        <v>201</v>
      </c>
      <c r="AE113" s="3" t="s">
        <v>201</v>
      </c>
      <c r="AF113" s="3" t="s">
        <v>201</v>
      </c>
      <c r="AG113" s="3" t="s">
        <v>201</v>
      </c>
      <c r="AH113" s="3" t="s">
        <v>201</v>
      </c>
      <c r="AI113" s="3" t="s">
        <v>201</v>
      </c>
      <c r="AJ113" s="3" t="s">
        <v>201</v>
      </c>
      <c r="AK113" s="3" t="s">
        <v>201</v>
      </c>
      <c r="AL113" s="3" t="s">
        <v>201</v>
      </c>
      <c r="AM113" s="3" t="s">
        <v>201</v>
      </c>
      <c r="AN113" s="3" t="s">
        <v>201</v>
      </c>
      <c r="AO113" s="3" t="s">
        <v>201</v>
      </c>
      <c r="AP113" s="3" t="s">
        <v>201</v>
      </c>
      <c r="AQ113" s="3" t="s">
        <v>201</v>
      </c>
      <c r="AR113" s="3" t="s">
        <v>201</v>
      </c>
      <c r="AS113" s="3" t="s">
        <v>201</v>
      </c>
      <c r="AT113" s="3" t="s">
        <v>201</v>
      </c>
      <c r="AU113" s="3" t="s">
        <v>201</v>
      </c>
      <c r="AV113" s="3" t="s">
        <v>201</v>
      </c>
      <c r="AW113" s="3" t="s">
        <v>201</v>
      </c>
      <c r="AX113" s="3" t="s">
        <v>201</v>
      </c>
      <c r="AY113" s="3" t="s">
        <v>201</v>
      </c>
      <c r="AZ113" s="3" t="s">
        <v>201</v>
      </c>
      <c r="BA113" s="3" t="s">
        <v>201</v>
      </c>
      <c r="BB113" s="3" t="s">
        <v>201</v>
      </c>
      <c r="BC113" s="3" t="s">
        <v>201</v>
      </c>
      <c r="BD113" s="3" t="s">
        <v>201</v>
      </c>
      <c r="BE113" s="3" t="s">
        <v>201</v>
      </c>
      <c r="BF113" s="3" t="s">
        <v>201</v>
      </c>
      <c r="BG113" s="3" t="s">
        <v>201</v>
      </c>
      <c r="BH113" s="3" t="s">
        <v>201</v>
      </c>
      <c r="BI113" s="3" t="s">
        <v>201</v>
      </c>
      <c r="BJ113" s="3" t="s">
        <v>201</v>
      </c>
      <c r="BK113" s="3" t="s">
        <v>201</v>
      </c>
      <c r="BL113" s="3" t="s">
        <v>201</v>
      </c>
      <c r="BM113" s="3" t="s">
        <v>201</v>
      </c>
      <c r="BN113" s="3" t="s">
        <v>201</v>
      </c>
      <c r="BO113" s="3" t="s">
        <v>201</v>
      </c>
      <c r="BP113" s="3" t="s">
        <v>201</v>
      </c>
      <c r="BQ113" s="3" t="s">
        <v>201</v>
      </c>
      <c r="BR113" s="3" t="s">
        <v>201</v>
      </c>
      <c r="BS113" s="3" t="s">
        <v>201</v>
      </c>
      <c r="BT113" s="3" t="s">
        <v>201</v>
      </c>
      <c r="BU113" s="3" t="s">
        <v>201</v>
      </c>
      <c r="BV113" s="3" t="s">
        <v>201</v>
      </c>
      <c r="BW113" s="3" t="s">
        <v>201</v>
      </c>
      <c r="BX113" s="3" t="s">
        <v>201</v>
      </c>
      <c r="BY113" s="3" t="s">
        <v>201</v>
      </c>
      <c r="BZ113" s="3" t="s">
        <v>201</v>
      </c>
      <c r="CA113" s="3" t="s">
        <v>201</v>
      </c>
      <c r="CB113" s="3" t="s">
        <v>201</v>
      </c>
      <c r="CC113" s="3" t="s">
        <v>201</v>
      </c>
      <c r="CD113" s="3" t="s">
        <v>201</v>
      </c>
      <c r="CE113" s="3" t="s">
        <v>201</v>
      </c>
      <c r="CF113" s="3" t="s">
        <v>201</v>
      </c>
      <c r="CG113" s="3" t="s">
        <v>201</v>
      </c>
      <c r="CH113" s="3" t="s">
        <v>201</v>
      </c>
      <c r="CI113" s="3" t="s">
        <v>201</v>
      </c>
      <c r="CJ113" s="3" t="s">
        <v>201</v>
      </c>
      <c r="CK113" s="3" t="s">
        <v>201</v>
      </c>
      <c r="CL113" s="3" t="s">
        <v>201</v>
      </c>
      <c r="CM113" s="3" t="s">
        <v>201</v>
      </c>
      <c r="CN113" s="3" t="s">
        <v>201</v>
      </c>
      <c r="CO113" s="3" t="s">
        <v>201</v>
      </c>
      <c r="CP113" s="3" t="s">
        <v>201</v>
      </c>
      <c r="CQ113" s="3" t="s">
        <v>201</v>
      </c>
      <c r="CR113" s="3" t="s">
        <v>201</v>
      </c>
      <c r="CS113" s="3" t="s">
        <v>201</v>
      </c>
      <c r="CT113" s="3" t="s">
        <v>201</v>
      </c>
      <c r="CU113" s="3" t="s">
        <v>201</v>
      </c>
      <c r="CV113" s="3" t="s">
        <v>201</v>
      </c>
      <c r="CW113" s="3" t="s">
        <v>201</v>
      </c>
      <c r="CX113" s="3" t="s">
        <v>201</v>
      </c>
      <c r="CY113" s="3" t="s">
        <v>201</v>
      </c>
      <c r="CZ113" s="3" t="s">
        <v>201</v>
      </c>
      <c r="DA113" s="3" t="s">
        <v>201</v>
      </c>
      <c r="DB113" s="3" t="s">
        <v>201</v>
      </c>
      <c r="DC113" s="3" t="s">
        <v>201</v>
      </c>
      <c r="DD113" s="3" t="s">
        <v>201</v>
      </c>
      <c r="DE113" s="3" t="s">
        <v>201</v>
      </c>
      <c r="DF113" s="3" t="s">
        <v>201</v>
      </c>
      <c r="DG113" s="3" t="s">
        <v>201</v>
      </c>
      <c r="DH113" s="3" t="s">
        <v>201</v>
      </c>
      <c r="DI113" s="3" t="s">
        <v>201</v>
      </c>
      <c r="DJ113" s="3" t="s">
        <v>201</v>
      </c>
      <c r="DK113" s="3" t="s">
        <v>201</v>
      </c>
      <c r="DL113" s="3" t="s">
        <v>201</v>
      </c>
      <c r="DM113" s="3" t="s">
        <v>201</v>
      </c>
      <c r="DN113" s="3" t="s">
        <v>201</v>
      </c>
      <c r="DO113" s="3" t="s">
        <v>201</v>
      </c>
      <c r="DP113" s="3" t="s">
        <v>201</v>
      </c>
      <c r="DQ113" s="3" t="s">
        <v>201</v>
      </c>
      <c r="DR113">
        <f t="shared" si="2"/>
        <v>2024</v>
      </c>
    </row>
    <row r="114" spans="1:122" x14ac:dyDescent="0.35">
      <c r="A114" s="1">
        <f t="shared" si="3"/>
        <v>45413</v>
      </c>
      <c r="B114" s="2">
        <v>19</v>
      </c>
      <c r="C114" s="2">
        <v>10</v>
      </c>
      <c r="D114" s="2">
        <v>8</v>
      </c>
      <c r="E114" s="2">
        <v>6</v>
      </c>
      <c r="F114" s="2">
        <v>7</v>
      </c>
      <c r="G114" s="2">
        <v>6</v>
      </c>
      <c r="H114" s="2">
        <v>1</v>
      </c>
      <c r="I114" s="2">
        <v>0</v>
      </c>
      <c r="J114" s="2" t="s">
        <v>201</v>
      </c>
      <c r="K114" s="2" t="s">
        <v>201</v>
      </c>
      <c r="L114" s="2" t="s">
        <v>201</v>
      </c>
      <c r="M114" s="2" t="s">
        <v>201</v>
      </c>
      <c r="N114" s="3" t="s">
        <v>201</v>
      </c>
      <c r="O114" s="3" t="s">
        <v>201</v>
      </c>
      <c r="P114" s="3" t="s">
        <v>201</v>
      </c>
      <c r="Q114" s="3" t="s">
        <v>201</v>
      </c>
      <c r="R114" s="3" t="s">
        <v>201</v>
      </c>
      <c r="S114" s="3" t="s">
        <v>201</v>
      </c>
      <c r="T114" s="3" t="s">
        <v>201</v>
      </c>
      <c r="U114" s="3" t="s">
        <v>201</v>
      </c>
      <c r="V114" s="3" t="s">
        <v>201</v>
      </c>
      <c r="W114" s="3" t="s">
        <v>201</v>
      </c>
      <c r="X114" s="3" t="s">
        <v>201</v>
      </c>
      <c r="Y114" s="3" t="s">
        <v>201</v>
      </c>
      <c r="Z114" s="3" t="s">
        <v>201</v>
      </c>
      <c r="AA114" s="3" t="s">
        <v>201</v>
      </c>
      <c r="AB114" s="3" t="s">
        <v>201</v>
      </c>
      <c r="AC114" s="3" t="s">
        <v>201</v>
      </c>
      <c r="AD114" s="3" t="s">
        <v>201</v>
      </c>
      <c r="AE114" s="3" t="s">
        <v>201</v>
      </c>
      <c r="AF114" s="3" t="s">
        <v>201</v>
      </c>
      <c r="AG114" s="3" t="s">
        <v>201</v>
      </c>
      <c r="AH114" s="3" t="s">
        <v>201</v>
      </c>
      <c r="AI114" s="3" t="s">
        <v>201</v>
      </c>
      <c r="AJ114" s="3" t="s">
        <v>201</v>
      </c>
      <c r="AK114" s="3" t="s">
        <v>201</v>
      </c>
      <c r="AL114" s="3" t="s">
        <v>201</v>
      </c>
      <c r="AM114" s="3" t="s">
        <v>201</v>
      </c>
      <c r="AN114" s="3" t="s">
        <v>201</v>
      </c>
      <c r="AO114" s="3" t="s">
        <v>201</v>
      </c>
      <c r="AP114" s="3" t="s">
        <v>201</v>
      </c>
      <c r="AQ114" s="3" t="s">
        <v>201</v>
      </c>
      <c r="AR114" s="3" t="s">
        <v>201</v>
      </c>
      <c r="AS114" s="3" t="s">
        <v>201</v>
      </c>
      <c r="AT114" s="3" t="s">
        <v>201</v>
      </c>
      <c r="AU114" s="3" t="s">
        <v>201</v>
      </c>
      <c r="AV114" s="3" t="s">
        <v>201</v>
      </c>
      <c r="AW114" s="3" t="s">
        <v>201</v>
      </c>
      <c r="AX114" s="3" t="s">
        <v>201</v>
      </c>
      <c r="AY114" s="3" t="s">
        <v>201</v>
      </c>
      <c r="AZ114" s="3" t="s">
        <v>201</v>
      </c>
      <c r="BA114" s="3" t="s">
        <v>201</v>
      </c>
      <c r="BB114" s="3" t="s">
        <v>201</v>
      </c>
      <c r="BC114" s="3" t="s">
        <v>201</v>
      </c>
      <c r="BD114" s="3" t="s">
        <v>201</v>
      </c>
      <c r="BE114" s="3" t="s">
        <v>201</v>
      </c>
      <c r="BF114" s="3" t="s">
        <v>201</v>
      </c>
      <c r="BG114" s="3" t="s">
        <v>201</v>
      </c>
      <c r="BH114" s="3" t="s">
        <v>201</v>
      </c>
      <c r="BI114" s="3" t="s">
        <v>201</v>
      </c>
      <c r="BJ114" s="3" t="s">
        <v>201</v>
      </c>
      <c r="BK114" s="3" t="s">
        <v>201</v>
      </c>
      <c r="BL114" s="3" t="s">
        <v>201</v>
      </c>
      <c r="BM114" s="3" t="s">
        <v>201</v>
      </c>
      <c r="BN114" s="3" t="s">
        <v>201</v>
      </c>
      <c r="BO114" s="3" t="s">
        <v>201</v>
      </c>
      <c r="BP114" s="3" t="s">
        <v>201</v>
      </c>
      <c r="BQ114" s="3" t="s">
        <v>201</v>
      </c>
      <c r="BR114" s="3" t="s">
        <v>201</v>
      </c>
      <c r="BS114" s="3" t="s">
        <v>201</v>
      </c>
      <c r="BT114" s="3" t="s">
        <v>201</v>
      </c>
      <c r="BU114" s="3" t="s">
        <v>201</v>
      </c>
      <c r="BV114" s="3" t="s">
        <v>201</v>
      </c>
      <c r="BW114" s="3" t="s">
        <v>201</v>
      </c>
      <c r="BX114" s="3" t="s">
        <v>201</v>
      </c>
      <c r="BY114" s="3" t="s">
        <v>201</v>
      </c>
      <c r="BZ114" s="3" t="s">
        <v>201</v>
      </c>
      <c r="CA114" s="3" t="s">
        <v>201</v>
      </c>
      <c r="CB114" s="3" t="s">
        <v>201</v>
      </c>
      <c r="CC114" s="3" t="s">
        <v>201</v>
      </c>
      <c r="CD114" s="3" t="s">
        <v>201</v>
      </c>
      <c r="CE114" s="3" t="s">
        <v>201</v>
      </c>
      <c r="CF114" s="3" t="s">
        <v>201</v>
      </c>
      <c r="CG114" s="3" t="s">
        <v>201</v>
      </c>
      <c r="CH114" s="3" t="s">
        <v>201</v>
      </c>
      <c r="CI114" s="3" t="s">
        <v>201</v>
      </c>
      <c r="CJ114" s="3" t="s">
        <v>201</v>
      </c>
      <c r="CK114" s="3" t="s">
        <v>201</v>
      </c>
      <c r="CL114" s="3" t="s">
        <v>201</v>
      </c>
      <c r="CM114" s="3" t="s">
        <v>201</v>
      </c>
      <c r="CN114" s="3" t="s">
        <v>201</v>
      </c>
      <c r="CO114" s="3" t="s">
        <v>201</v>
      </c>
      <c r="CP114" s="3" t="s">
        <v>201</v>
      </c>
      <c r="CQ114" s="3" t="s">
        <v>201</v>
      </c>
      <c r="CR114" s="3" t="s">
        <v>201</v>
      </c>
      <c r="CS114" s="3" t="s">
        <v>201</v>
      </c>
      <c r="CT114" s="3" t="s">
        <v>201</v>
      </c>
      <c r="CU114" s="3" t="s">
        <v>201</v>
      </c>
      <c r="CV114" s="3" t="s">
        <v>201</v>
      </c>
      <c r="CW114" s="3" t="s">
        <v>201</v>
      </c>
      <c r="CX114" s="3" t="s">
        <v>201</v>
      </c>
      <c r="CY114" s="3" t="s">
        <v>201</v>
      </c>
      <c r="CZ114" s="3" t="s">
        <v>201</v>
      </c>
      <c r="DA114" s="3" t="s">
        <v>201</v>
      </c>
      <c r="DB114" s="3" t="s">
        <v>201</v>
      </c>
      <c r="DC114" s="3" t="s">
        <v>201</v>
      </c>
      <c r="DD114" s="3" t="s">
        <v>201</v>
      </c>
      <c r="DE114" s="3" t="s">
        <v>201</v>
      </c>
      <c r="DF114" s="3" t="s">
        <v>201</v>
      </c>
      <c r="DG114" s="3" t="s">
        <v>201</v>
      </c>
      <c r="DH114" s="3" t="s">
        <v>201</v>
      </c>
      <c r="DI114" s="3" t="s">
        <v>201</v>
      </c>
      <c r="DJ114" s="3" t="s">
        <v>201</v>
      </c>
      <c r="DK114" s="3" t="s">
        <v>201</v>
      </c>
      <c r="DL114" s="3" t="s">
        <v>201</v>
      </c>
      <c r="DM114" s="3" t="s">
        <v>201</v>
      </c>
      <c r="DN114" s="3" t="s">
        <v>201</v>
      </c>
      <c r="DO114" s="3" t="s">
        <v>201</v>
      </c>
      <c r="DP114" s="3" t="s">
        <v>201</v>
      </c>
      <c r="DQ114" s="3" t="s">
        <v>201</v>
      </c>
      <c r="DR114">
        <f t="shared" si="2"/>
        <v>2024</v>
      </c>
    </row>
    <row r="115" spans="1:122" x14ac:dyDescent="0.35">
      <c r="A115" s="1">
        <f t="shared" si="3"/>
        <v>45444</v>
      </c>
      <c r="B115" s="2">
        <v>23</v>
      </c>
      <c r="C115" s="2">
        <v>6</v>
      </c>
      <c r="D115" s="2">
        <v>8</v>
      </c>
      <c r="E115" s="2">
        <v>4</v>
      </c>
      <c r="F115" s="2">
        <v>6</v>
      </c>
      <c r="G115" s="2">
        <v>2</v>
      </c>
      <c r="H115" s="2">
        <v>1</v>
      </c>
      <c r="I115" s="2" t="s">
        <v>201</v>
      </c>
      <c r="J115" s="2" t="s">
        <v>201</v>
      </c>
      <c r="K115" s="2" t="s">
        <v>201</v>
      </c>
      <c r="L115" s="2" t="s">
        <v>201</v>
      </c>
      <c r="M115" s="2" t="s">
        <v>201</v>
      </c>
      <c r="N115" s="3" t="s">
        <v>201</v>
      </c>
      <c r="O115" s="3" t="s">
        <v>201</v>
      </c>
      <c r="P115" s="3" t="s">
        <v>201</v>
      </c>
      <c r="Q115" s="3" t="s">
        <v>201</v>
      </c>
      <c r="R115" s="3" t="s">
        <v>201</v>
      </c>
      <c r="S115" s="3" t="s">
        <v>201</v>
      </c>
      <c r="T115" s="3" t="s">
        <v>201</v>
      </c>
      <c r="U115" s="3" t="s">
        <v>201</v>
      </c>
      <c r="V115" s="3" t="s">
        <v>201</v>
      </c>
      <c r="W115" s="3" t="s">
        <v>201</v>
      </c>
      <c r="X115" s="3" t="s">
        <v>201</v>
      </c>
      <c r="Y115" s="3" t="s">
        <v>201</v>
      </c>
      <c r="Z115" s="3" t="s">
        <v>201</v>
      </c>
      <c r="AA115" s="3" t="s">
        <v>201</v>
      </c>
      <c r="AB115" s="3" t="s">
        <v>201</v>
      </c>
      <c r="AC115" s="3" t="s">
        <v>201</v>
      </c>
      <c r="AD115" s="3" t="s">
        <v>201</v>
      </c>
      <c r="AE115" s="3" t="s">
        <v>201</v>
      </c>
      <c r="AF115" s="3" t="s">
        <v>201</v>
      </c>
      <c r="AG115" s="3" t="s">
        <v>201</v>
      </c>
      <c r="AH115" s="3" t="s">
        <v>201</v>
      </c>
      <c r="AI115" s="3" t="s">
        <v>201</v>
      </c>
      <c r="AJ115" s="3" t="s">
        <v>201</v>
      </c>
      <c r="AK115" s="3" t="s">
        <v>201</v>
      </c>
      <c r="AL115" s="3" t="s">
        <v>201</v>
      </c>
      <c r="AM115" s="3" t="s">
        <v>201</v>
      </c>
      <c r="AN115" s="3" t="s">
        <v>201</v>
      </c>
      <c r="AO115" s="3" t="s">
        <v>201</v>
      </c>
      <c r="AP115" s="3" t="s">
        <v>201</v>
      </c>
      <c r="AQ115" s="3" t="s">
        <v>201</v>
      </c>
      <c r="AR115" s="3" t="s">
        <v>201</v>
      </c>
      <c r="AS115" s="3" t="s">
        <v>201</v>
      </c>
      <c r="AT115" s="3" t="s">
        <v>201</v>
      </c>
      <c r="AU115" s="3" t="s">
        <v>201</v>
      </c>
      <c r="AV115" s="3" t="s">
        <v>201</v>
      </c>
      <c r="AW115" s="3" t="s">
        <v>201</v>
      </c>
      <c r="AX115" s="3" t="s">
        <v>201</v>
      </c>
      <c r="AY115" s="3" t="s">
        <v>201</v>
      </c>
      <c r="AZ115" s="3" t="s">
        <v>201</v>
      </c>
      <c r="BA115" s="3" t="s">
        <v>201</v>
      </c>
      <c r="BB115" s="3" t="s">
        <v>201</v>
      </c>
      <c r="BC115" s="3" t="s">
        <v>201</v>
      </c>
      <c r="BD115" s="3" t="s">
        <v>201</v>
      </c>
      <c r="BE115" s="3" t="s">
        <v>201</v>
      </c>
      <c r="BF115" s="3" t="s">
        <v>201</v>
      </c>
      <c r="BG115" s="3" t="s">
        <v>201</v>
      </c>
      <c r="BH115" s="3" t="s">
        <v>201</v>
      </c>
      <c r="BI115" s="3" t="s">
        <v>201</v>
      </c>
      <c r="BJ115" s="3" t="s">
        <v>201</v>
      </c>
      <c r="BK115" s="3" t="s">
        <v>201</v>
      </c>
      <c r="BL115" s="3" t="s">
        <v>201</v>
      </c>
      <c r="BM115" s="3" t="s">
        <v>201</v>
      </c>
      <c r="BN115" s="3" t="s">
        <v>201</v>
      </c>
      <c r="BO115" s="3" t="s">
        <v>201</v>
      </c>
      <c r="BP115" s="3" t="s">
        <v>201</v>
      </c>
      <c r="BQ115" s="3" t="s">
        <v>201</v>
      </c>
      <c r="BR115" s="3" t="s">
        <v>201</v>
      </c>
      <c r="BS115" s="3" t="s">
        <v>201</v>
      </c>
      <c r="BT115" s="3" t="s">
        <v>201</v>
      </c>
      <c r="BU115" s="3" t="s">
        <v>201</v>
      </c>
      <c r="BV115" s="3" t="s">
        <v>201</v>
      </c>
      <c r="BW115" s="3" t="s">
        <v>201</v>
      </c>
      <c r="BX115" s="3" t="s">
        <v>201</v>
      </c>
      <c r="BY115" s="3" t="s">
        <v>201</v>
      </c>
      <c r="BZ115" s="3" t="s">
        <v>201</v>
      </c>
      <c r="CA115" s="3" t="s">
        <v>201</v>
      </c>
      <c r="CB115" s="3" t="s">
        <v>201</v>
      </c>
      <c r="CC115" s="3" t="s">
        <v>201</v>
      </c>
      <c r="CD115" s="3" t="s">
        <v>201</v>
      </c>
      <c r="CE115" s="3" t="s">
        <v>201</v>
      </c>
      <c r="CF115" s="3" t="s">
        <v>201</v>
      </c>
      <c r="CG115" s="3" t="s">
        <v>201</v>
      </c>
      <c r="CH115" s="3" t="s">
        <v>201</v>
      </c>
      <c r="CI115" s="3" t="s">
        <v>201</v>
      </c>
      <c r="CJ115" s="3" t="s">
        <v>201</v>
      </c>
      <c r="CK115" s="3" t="s">
        <v>201</v>
      </c>
      <c r="CL115" s="3" t="s">
        <v>201</v>
      </c>
      <c r="CM115" s="3" t="s">
        <v>201</v>
      </c>
      <c r="CN115" s="3" t="s">
        <v>201</v>
      </c>
      <c r="CO115" s="3" t="s">
        <v>201</v>
      </c>
      <c r="CP115" s="3" t="s">
        <v>201</v>
      </c>
      <c r="CQ115" s="3" t="s">
        <v>201</v>
      </c>
      <c r="CR115" s="3" t="s">
        <v>201</v>
      </c>
      <c r="CS115" s="3" t="s">
        <v>201</v>
      </c>
      <c r="CT115" s="3" t="s">
        <v>201</v>
      </c>
      <c r="CU115" s="3" t="s">
        <v>201</v>
      </c>
      <c r="CV115" s="3" t="s">
        <v>201</v>
      </c>
      <c r="CW115" s="3" t="s">
        <v>201</v>
      </c>
      <c r="CX115" s="3" t="s">
        <v>201</v>
      </c>
      <c r="CY115" s="3" t="s">
        <v>201</v>
      </c>
      <c r="CZ115" s="3" t="s">
        <v>201</v>
      </c>
      <c r="DA115" s="3" t="s">
        <v>201</v>
      </c>
      <c r="DB115" s="3" t="s">
        <v>201</v>
      </c>
      <c r="DC115" s="3" t="s">
        <v>201</v>
      </c>
      <c r="DD115" s="3" t="s">
        <v>201</v>
      </c>
      <c r="DE115" s="3" t="s">
        <v>201</v>
      </c>
      <c r="DF115" s="3" t="s">
        <v>201</v>
      </c>
      <c r="DG115" s="3" t="s">
        <v>201</v>
      </c>
      <c r="DH115" s="3" t="s">
        <v>201</v>
      </c>
      <c r="DI115" s="3" t="s">
        <v>201</v>
      </c>
      <c r="DJ115" s="3" t="s">
        <v>201</v>
      </c>
      <c r="DK115" s="3" t="s">
        <v>201</v>
      </c>
      <c r="DL115" s="3" t="s">
        <v>201</v>
      </c>
      <c r="DM115" s="3" t="s">
        <v>201</v>
      </c>
      <c r="DN115" s="3" t="s">
        <v>201</v>
      </c>
      <c r="DO115" s="3" t="s">
        <v>201</v>
      </c>
      <c r="DP115" s="3" t="s">
        <v>201</v>
      </c>
      <c r="DQ115" s="3" t="s">
        <v>201</v>
      </c>
      <c r="DR115">
        <f t="shared" si="2"/>
        <v>2024</v>
      </c>
    </row>
    <row r="116" spans="1:122" x14ac:dyDescent="0.35">
      <c r="A116" s="1">
        <f t="shared" si="3"/>
        <v>45474</v>
      </c>
      <c r="B116" s="2">
        <v>15</v>
      </c>
      <c r="C116" s="2">
        <v>4</v>
      </c>
      <c r="D116" s="2">
        <v>14</v>
      </c>
      <c r="E116" s="2">
        <v>8</v>
      </c>
      <c r="F116" s="2">
        <v>4</v>
      </c>
      <c r="G116" s="2">
        <v>2</v>
      </c>
      <c r="H116" s="2" t="s">
        <v>201</v>
      </c>
      <c r="I116" s="2" t="s">
        <v>201</v>
      </c>
      <c r="J116" s="2" t="s">
        <v>201</v>
      </c>
      <c r="K116" s="2" t="s">
        <v>201</v>
      </c>
      <c r="L116" s="2" t="s">
        <v>201</v>
      </c>
      <c r="M116" s="2" t="s">
        <v>201</v>
      </c>
      <c r="N116" s="3" t="s">
        <v>201</v>
      </c>
      <c r="O116" s="3" t="s">
        <v>201</v>
      </c>
      <c r="P116" s="3" t="s">
        <v>201</v>
      </c>
      <c r="Q116" s="3" t="s">
        <v>201</v>
      </c>
      <c r="R116" s="3" t="s">
        <v>201</v>
      </c>
      <c r="S116" s="3" t="s">
        <v>201</v>
      </c>
      <c r="T116" s="3" t="s">
        <v>201</v>
      </c>
      <c r="U116" s="3" t="s">
        <v>201</v>
      </c>
      <c r="V116" s="3" t="s">
        <v>201</v>
      </c>
      <c r="W116" s="3" t="s">
        <v>201</v>
      </c>
      <c r="X116" s="3" t="s">
        <v>201</v>
      </c>
      <c r="Y116" s="3" t="s">
        <v>201</v>
      </c>
      <c r="Z116" s="3" t="s">
        <v>201</v>
      </c>
      <c r="AA116" s="3" t="s">
        <v>201</v>
      </c>
      <c r="AB116" s="3" t="s">
        <v>201</v>
      </c>
      <c r="AC116" s="3" t="s">
        <v>201</v>
      </c>
      <c r="AD116" s="3" t="s">
        <v>201</v>
      </c>
      <c r="AE116" s="3" t="s">
        <v>201</v>
      </c>
      <c r="AF116" s="3" t="s">
        <v>201</v>
      </c>
      <c r="AG116" s="3" t="s">
        <v>201</v>
      </c>
      <c r="AH116" s="3" t="s">
        <v>201</v>
      </c>
      <c r="AI116" s="3" t="s">
        <v>201</v>
      </c>
      <c r="AJ116" s="3" t="s">
        <v>201</v>
      </c>
      <c r="AK116" s="3" t="s">
        <v>201</v>
      </c>
      <c r="AL116" s="3" t="s">
        <v>201</v>
      </c>
      <c r="AM116" s="3" t="s">
        <v>201</v>
      </c>
      <c r="AN116" s="3" t="s">
        <v>201</v>
      </c>
      <c r="AO116" s="3" t="s">
        <v>201</v>
      </c>
      <c r="AP116" s="3" t="s">
        <v>201</v>
      </c>
      <c r="AQ116" s="3" t="s">
        <v>201</v>
      </c>
      <c r="AR116" s="3" t="s">
        <v>201</v>
      </c>
      <c r="AS116" s="3" t="s">
        <v>201</v>
      </c>
      <c r="AT116" s="3" t="s">
        <v>201</v>
      </c>
      <c r="AU116" s="3" t="s">
        <v>201</v>
      </c>
      <c r="AV116" s="3" t="s">
        <v>201</v>
      </c>
      <c r="AW116" s="3" t="s">
        <v>201</v>
      </c>
      <c r="AX116" s="3" t="s">
        <v>201</v>
      </c>
      <c r="AY116" s="3" t="s">
        <v>201</v>
      </c>
      <c r="AZ116" s="3" t="s">
        <v>201</v>
      </c>
      <c r="BA116" s="3" t="s">
        <v>201</v>
      </c>
      <c r="BB116" s="3" t="s">
        <v>201</v>
      </c>
      <c r="BC116" s="3" t="s">
        <v>201</v>
      </c>
      <c r="BD116" s="3" t="s">
        <v>201</v>
      </c>
      <c r="BE116" s="3" t="s">
        <v>201</v>
      </c>
      <c r="BF116" s="3" t="s">
        <v>201</v>
      </c>
      <c r="BG116" s="3" t="s">
        <v>201</v>
      </c>
      <c r="BH116" s="3" t="s">
        <v>201</v>
      </c>
      <c r="BI116" s="3" t="s">
        <v>201</v>
      </c>
      <c r="BJ116" s="3" t="s">
        <v>201</v>
      </c>
      <c r="BK116" s="3" t="s">
        <v>201</v>
      </c>
      <c r="BL116" s="3" t="s">
        <v>201</v>
      </c>
      <c r="BM116" s="3" t="s">
        <v>201</v>
      </c>
      <c r="BN116" s="3" t="s">
        <v>201</v>
      </c>
      <c r="BO116" s="3" t="s">
        <v>201</v>
      </c>
      <c r="BP116" s="3" t="s">
        <v>201</v>
      </c>
      <c r="BQ116" s="3" t="s">
        <v>201</v>
      </c>
      <c r="BR116" s="3" t="s">
        <v>201</v>
      </c>
      <c r="BS116" s="3" t="s">
        <v>201</v>
      </c>
      <c r="BT116" s="3" t="s">
        <v>201</v>
      </c>
      <c r="BU116" s="3" t="s">
        <v>201</v>
      </c>
      <c r="BV116" s="3" t="s">
        <v>201</v>
      </c>
      <c r="BW116" s="3" t="s">
        <v>201</v>
      </c>
      <c r="BX116" s="3" t="s">
        <v>201</v>
      </c>
      <c r="BY116" s="3" t="s">
        <v>201</v>
      </c>
      <c r="BZ116" s="3" t="s">
        <v>201</v>
      </c>
      <c r="CA116" s="3" t="s">
        <v>201</v>
      </c>
      <c r="CB116" s="3" t="s">
        <v>201</v>
      </c>
      <c r="CC116" s="3" t="s">
        <v>201</v>
      </c>
      <c r="CD116" s="3" t="s">
        <v>201</v>
      </c>
      <c r="CE116" s="3" t="s">
        <v>201</v>
      </c>
      <c r="CF116" s="3" t="s">
        <v>201</v>
      </c>
      <c r="CG116" s="3" t="s">
        <v>201</v>
      </c>
      <c r="CH116" s="3" t="s">
        <v>201</v>
      </c>
      <c r="CI116" s="3" t="s">
        <v>201</v>
      </c>
      <c r="CJ116" s="3" t="s">
        <v>201</v>
      </c>
      <c r="CK116" s="3" t="s">
        <v>201</v>
      </c>
      <c r="CL116" s="3" t="s">
        <v>201</v>
      </c>
      <c r="CM116" s="3" t="s">
        <v>201</v>
      </c>
      <c r="CN116" s="3" t="s">
        <v>201</v>
      </c>
      <c r="CO116" s="3" t="s">
        <v>201</v>
      </c>
      <c r="CP116" s="3" t="s">
        <v>201</v>
      </c>
      <c r="CQ116" s="3" t="s">
        <v>201</v>
      </c>
      <c r="CR116" s="3" t="s">
        <v>201</v>
      </c>
      <c r="CS116" s="3" t="s">
        <v>201</v>
      </c>
      <c r="CT116" s="3" t="s">
        <v>201</v>
      </c>
      <c r="CU116" s="3" t="s">
        <v>201</v>
      </c>
      <c r="CV116" s="3" t="s">
        <v>201</v>
      </c>
      <c r="CW116" s="3" t="s">
        <v>201</v>
      </c>
      <c r="CX116" s="3" t="s">
        <v>201</v>
      </c>
      <c r="CY116" s="3" t="s">
        <v>201</v>
      </c>
      <c r="CZ116" s="3" t="s">
        <v>201</v>
      </c>
      <c r="DA116" s="3" t="s">
        <v>201</v>
      </c>
      <c r="DB116" s="3" t="s">
        <v>201</v>
      </c>
      <c r="DC116" s="3" t="s">
        <v>201</v>
      </c>
      <c r="DD116" s="3" t="s">
        <v>201</v>
      </c>
      <c r="DE116" s="3" t="s">
        <v>201</v>
      </c>
      <c r="DF116" s="3" t="s">
        <v>201</v>
      </c>
      <c r="DG116" s="3" t="s">
        <v>201</v>
      </c>
      <c r="DH116" s="3" t="s">
        <v>201</v>
      </c>
      <c r="DI116" s="3" t="s">
        <v>201</v>
      </c>
      <c r="DJ116" s="3" t="s">
        <v>201</v>
      </c>
      <c r="DK116" s="3" t="s">
        <v>201</v>
      </c>
      <c r="DL116" s="3" t="s">
        <v>201</v>
      </c>
      <c r="DM116" s="3" t="s">
        <v>201</v>
      </c>
      <c r="DN116" s="3" t="s">
        <v>201</v>
      </c>
      <c r="DO116" s="3" t="s">
        <v>201</v>
      </c>
      <c r="DP116" s="3" t="s">
        <v>201</v>
      </c>
      <c r="DQ116" s="3" t="s">
        <v>201</v>
      </c>
      <c r="DR116">
        <f t="shared" si="2"/>
        <v>2024</v>
      </c>
    </row>
    <row r="117" spans="1:122" x14ac:dyDescent="0.35">
      <c r="A117" s="1">
        <f t="shared" si="3"/>
        <v>45505</v>
      </c>
      <c r="B117" s="2">
        <v>5</v>
      </c>
      <c r="C117" s="2">
        <v>2</v>
      </c>
      <c r="D117" s="2">
        <v>3</v>
      </c>
      <c r="E117" s="2">
        <v>2</v>
      </c>
      <c r="F117" s="2">
        <v>1</v>
      </c>
      <c r="G117" s="2" t="s">
        <v>201</v>
      </c>
      <c r="H117" s="2" t="s">
        <v>201</v>
      </c>
      <c r="I117" s="2" t="s">
        <v>201</v>
      </c>
      <c r="J117" s="2" t="s">
        <v>201</v>
      </c>
      <c r="K117" s="2" t="s">
        <v>201</v>
      </c>
      <c r="L117" s="2" t="s">
        <v>201</v>
      </c>
      <c r="M117" s="2" t="s">
        <v>201</v>
      </c>
      <c r="N117" s="3" t="s">
        <v>201</v>
      </c>
      <c r="O117" s="3" t="s">
        <v>201</v>
      </c>
      <c r="P117" s="3" t="s">
        <v>201</v>
      </c>
      <c r="Q117" s="3" t="s">
        <v>201</v>
      </c>
      <c r="R117" s="3" t="s">
        <v>201</v>
      </c>
      <c r="S117" s="3" t="s">
        <v>201</v>
      </c>
      <c r="T117" s="3" t="s">
        <v>201</v>
      </c>
      <c r="U117" s="3" t="s">
        <v>201</v>
      </c>
      <c r="V117" s="3" t="s">
        <v>201</v>
      </c>
      <c r="W117" s="3" t="s">
        <v>201</v>
      </c>
      <c r="X117" s="3" t="s">
        <v>201</v>
      </c>
      <c r="Y117" s="3" t="s">
        <v>201</v>
      </c>
      <c r="Z117" s="3" t="s">
        <v>201</v>
      </c>
      <c r="AA117" s="3" t="s">
        <v>201</v>
      </c>
      <c r="AB117" s="3" t="s">
        <v>201</v>
      </c>
      <c r="AC117" s="3" t="s">
        <v>201</v>
      </c>
      <c r="AD117" s="3" t="s">
        <v>201</v>
      </c>
      <c r="AE117" s="3" t="s">
        <v>201</v>
      </c>
      <c r="AF117" s="3" t="s">
        <v>201</v>
      </c>
      <c r="AG117" s="3" t="s">
        <v>201</v>
      </c>
      <c r="AH117" s="3" t="s">
        <v>201</v>
      </c>
      <c r="AI117" s="3" t="s">
        <v>201</v>
      </c>
      <c r="AJ117" s="3" t="s">
        <v>201</v>
      </c>
      <c r="AK117" s="3" t="s">
        <v>201</v>
      </c>
      <c r="AL117" s="3" t="s">
        <v>201</v>
      </c>
      <c r="AM117" s="3" t="s">
        <v>201</v>
      </c>
      <c r="AN117" s="3" t="s">
        <v>201</v>
      </c>
      <c r="AO117" s="3" t="s">
        <v>201</v>
      </c>
      <c r="AP117" s="3" t="s">
        <v>201</v>
      </c>
      <c r="AQ117" s="3" t="s">
        <v>201</v>
      </c>
      <c r="AR117" s="3" t="s">
        <v>201</v>
      </c>
      <c r="AS117" s="3" t="s">
        <v>201</v>
      </c>
      <c r="AT117" s="3" t="s">
        <v>201</v>
      </c>
      <c r="AU117" s="3" t="s">
        <v>201</v>
      </c>
      <c r="AV117" s="3" t="s">
        <v>201</v>
      </c>
      <c r="AW117" s="3" t="s">
        <v>201</v>
      </c>
      <c r="AX117" s="3" t="s">
        <v>201</v>
      </c>
      <c r="AY117" s="3" t="s">
        <v>201</v>
      </c>
      <c r="AZ117" s="3" t="s">
        <v>201</v>
      </c>
      <c r="BA117" s="3" t="s">
        <v>201</v>
      </c>
      <c r="BB117" s="3" t="s">
        <v>201</v>
      </c>
      <c r="BC117" s="3" t="s">
        <v>201</v>
      </c>
      <c r="BD117" s="3" t="s">
        <v>201</v>
      </c>
      <c r="BE117" s="3" t="s">
        <v>201</v>
      </c>
      <c r="BF117" s="3" t="s">
        <v>201</v>
      </c>
      <c r="BG117" s="3" t="s">
        <v>201</v>
      </c>
      <c r="BH117" s="3" t="s">
        <v>201</v>
      </c>
      <c r="BI117" s="3" t="s">
        <v>201</v>
      </c>
      <c r="BJ117" s="3" t="s">
        <v>201</v>
      </c>
      <c r="BK117" s="3" t="s">
        <v>201</v>
      </c>
      <c r="BL117" s="3" t="s">
        <v>201</v>
      </c>
      <c r="BM117" s="3" t="s">
        <v>201</v>
      </c>
      <c r="BN117" s="3" t="s">
        <v>201</v>
      </c>
      <c r="BO117" s="3" t="s">
        <v>201</v>
      </c>
      <c r="BP117" s="3" t="s">
        <v>201</v>
      </c>
      <c r="BQ117" s="3" t="s">
        <v>201</v>
      </c>
      <c r="BR117" s="3" t="s">
        <v>201</v>
      </c>
      <c r="BS117" s="3" t="s">
        <v>201</v>
      </c>
      <c r="BT117" s="3" t="s">
        <v>201</v>
      </c>
      <c r="BU117" s="3" t="s">
        <v>201</v>
      </c>
      <c r="BV117" s="3" t="s">
        <v>201</v>
      </c>
      <c r="BW117" s="3" t="s">
        <v>201</v>
      </c>
      <c r="BX117" s="3" t="s">
        <v>201</v>
      </c>
      <c r="BY117" s="3" t="s">
        <v>201</v>
      </c>
      <c r="BZ117" s="3" t="s">
        <v>201</v>
      </c>
      <c r="CA117" s="3" t="s">
        <v>201</v>
      </c>
      <c r="CB117" s="3" t="s">
        <v>201</v>
      </c>
      <c r="CC117" s="3" t="s">
        <v>201</v>
      </c>
      <c r="CD117" s="3" t="s">
        <v>201</v>
      </c>
      <c r="CE117" s="3" t="s">
        <v>201</v>
      </c>
      <c r="CF117" s="3" t="s">
        <v>201</v>
      </c>
      <c r="CG117" s="3" t="s">
        <v>201</v>
      </c>
      <c r="CH117" s="3" t="s">
        <v>201</v>
      </c>
      <c r="CI117" s="3" t="s">
        <v>201</v>
      </c>
      <c r="CJ117" s="3" t="s">
        <v>201</v>
      </c>
      <c r="CK117" s="3" t="s">
        <v>201</v>
      </c>
      <c r="CL117" s="3" t="s">
        <v>201</v>
      </c>
      <c r="CM117" s="3" t="s">
        <v>201</v>
      </c>
      <c r="CN117" s="3" t="s">
        <v>201</v>
      </c>
      <c r="CO117" s="3" t="s">
        <v>201</v>
      </c>
      <c r="CP117" s="3" t="s">
        <v>201</v>
      </c>
      <c r="CQ117" s="3" t="s">
        <v>201</v>
      </c>
      <c r="CR117" s="3" t="s">
        <v>201</v>
      </c>
      <c r="CS117" s="3" t="s">
        <v>201</v>
      </c>
      <c r="CT117" s="3" t="s">
        <v>201</v>
      </c>
      <c r="CU117" s="3" t="s">
        <v>201</v>
      </c>
      <c r="CV117" s="3" t="s">
        <v>201</v>
      </c>
      <c r="CW117" s="3" t="s">
        <v>201</v>
      </c>
      <c r="CX117" s="3" t="s">
        <v>201</v>
      </c>
      <c r="CY117" s="3" t="s">
        <v>201</v>
      </c>
      <c r="CZ117" s="3" t="s">
        <v>201</v>
      </c>
      <c r="DA117" s="3" t="s">
        <v>201</v>
      </c>
      <c r="DB117" s="3" t="s">
        <v>201</v>
      </c>
      <c r="DC117" s="3" t="s">
        <v>201</v>
      </c>
      <c r="DD117" s="3" t="s">
        <v>201</v>
      </c>
      <c r="DE117" s="3" t="s">
        <v>201</v>
      </c>
      <c r="DF117" s="3" t="s">
        <v>201</v>
      </c>
      <c r="DG117" s="3" t="s">
        <v>201</v>
      </c>
      <c r="DH117" s="3" t="s">
        <v>201</v>
      </c>
      <c r="DI117" s="3" t="s">
        <v>201</v>
      </c>
      <c r="DJ117" s="3" t="s">
        <v>201</v>
      </c>
      <c r="DK117" s="3" t="s">
        <v>201</v>
      </c>
      <c r="DL117" s="3" t="s">
        <v>201</v>
      </c>
      <c r="DM117" s="3" t="s">
        <v>201</v>
      </c>
      <c r="DN117" s="3" t="s">
        <v>201</v>
      </c>
      <c r="DO117" s="3" t="s">
        <v>201</v>
      </c>
      <c r="DP117" s="3" t="s">
        <v>201</v>
      </c>
      <c r="DQ117" s="3" t="s">
        <v>201</v>
      </c>
      <c r="DR117">
        <f t="shared" si="2"/>
        <v>2024</v>
      </c>
    </row>
    <row r="118" spans="1:122" x14ac:dyDescent="0.35">
      <c r="A118" s="1">
        <f t="shared" si="3"/>
        <v>45536</v>
      </c>
      <c r="B118" s="2">
        <v>3</v>
      </c>
      <c r="C118" s="2">
        <v>1</v>
      </c>
      <c r="D118" s="2">
        <v>1</v>
      </c>
      <c r="E118" s="2">
        <v>1</v>
      </c>
      <c r="F118" s="2" t="s">
        <v>201</v>
      </c>
      <c r="G118" s="2" t="s">
        <v>201</v>
      </c>
      <c r="H118" s="2" t="s">
        <v>201</v>
      </c>
      <c r="I118" s="2" t="s">
        <v>201</v>
      </c>
      <c r="J118" s="2" t="s">
        <v>201</v>
      </c>
      <c r="K118" s="2" t="s">
        <v>201</v>
      </c>
      <c r="L118" s="2" t="s">
        <v>201</v>
      </c>
      <c r="M118" s="2" t="s">
        <v>201</v>
      </c>
      <c r="N118" s="3" t="s">
        <v>201</v>
      </c>
      <c r="O118" s="3" t="s">
        <v>201</v>
      </c>
      <c r="P118" s="3" t="s">
        <v>201</v>
      </c>
      <c r="Q118" s="3" t="s">
        <v>201</v>
      </c>
      <c r="R118" s="3" t="s">
        <v>201</v>
      </c>
      <c r="S118" s="3" t="s">
        <v>201</v>
      </c>
      <c r="T118" s="3" t="s">
        <v>201</v>
      </c>
      <c r="U118" s="3" t="s">
        <v>201</v>
      </c>
      <c r="V118" s="3" t="s">
        <v>201</v>
      </c>
      <c r="W118" s="3" t="s">
        <v>201</v>
      </c>
      <c r="X118" s="3" t="s">
        <v>201</v>
      </c>
      <c r="Y118" s="3" t="s">
        <v>201</v>
      </c>
      <c r="Z118" s="3" t="s">
        <v>201</v>
      </c>
      <c r="AA118" s="3" t="s">
        <v>201</v>
      </c>
      <c r="AB118" s="3" t="s">
        <v>201</v>
      </c>
      <c r="AC118" s="3" t="s">
        <v>201</v>
      </c>
      <c r="AD118" s="3" t="s">
        <v>201</v>
      </c>
      <c r="AE118" s="3" t="s">
        <v>201</v>
      </c>
      <c r="AF118" s="3" t="s">
        <v>201</v>
      </c>
      <c r="AG118" s="3" t="s">
        <v>201</v>
      </c>
      <c r="AH118" s="3" t="s">
        <v>201</v>
      </c>
      <c r="AI118" s="3" t="s">
        <v>201</v>
      </c>
      <c r="AJ118" s="3" t="s">
        <v>201</v>
      </c>
      <c r="AK118" s="3" t="s">
        <v>201</v>
      </c>
      <c r="AL118" s="3" t="s">
        <v>201</v>
      </c>
      <c r="AM118" s="3" t="s">
        <v>201</v>
      </c>
      <c r="AN118" s="3" t="s">
        <v>201</v>
      </c>
      <c r="AO118" s="3" t="s">
        <v>201</v>
      </c>
      <c r="AP118" s="3" t="s">
        <v>201</v>
      </c>
      <c r="AQ118" s="3" t="s">
        <v>201</v>
      </c>
      <c r="AR118" s="3" t="s">
        <v>201</v>
      </c>
      <c r="AS118" s="3" t="s">
        <v>201</v>
      </c>
      <c r="AT118" s="3" t="s">
        <v>201</v>
      </c>
      <c r="AU118" s="3" t="s">
        <v>201</v>
      </c>
      <c r="AV118" s="3" t="s">
        <v>201</v>
      </c>
      <c r="AW118" s="3" t="s">
        <v>201</v>
      </c>
      <c r="AX118" s="3" t="s">
        <v>201</v>
      </c>
      <c r="AY118" s="3" t="s">
        <v>201</v>
      </c>
      <c r="AZ118" s="3" t="s">
        <v>201</v>
      </c>
      <c r="BA118" s="3" t="s">
        <v>201</v>
      </c>
      <c r="BB118" s="3" t="s">
        <v>201</v>
      </c>
      <c r="BC118" s="3" t="s">
        <v>201</v>
      </c>
      <c r="BD118" s="3" t="s">
        <v>201</v>
      </c>
      <c r="BE118" s="3" t="s">
        <v>201</v>
      </c>
      <c r="BF118" s="3" t="s">
        <v>201</v>
      </c>
      <c r="BG118" s="3" t="s">
        <v>201</v>
      </c>
      <c r="BH118" s="3" t="s">
        <v>201</v>
      </c>
      <c r="BI118" s="3" t="s">
        <v>201</v>
      </c>
      <c r="BJ118" s="3" t="s">
        <v>201</v>
      </c>
      <c r="BK118" s="3" t="s">
        <v>201</v>
      </c>
      <c r="BL118" s="3" t="s">
        <v>201</v>
      </c>
      <c r="BM118" s="3" t="s">
        <v>201</v>
      </c>
      <c r="BN118" s="3" t="s">
        <v>201</v>
      </c>
      <c r="BO118" s="3" t="s">
        <v>201</v>
      </c>
      <c r="BP118" s="3" t="s">
        <v>201</v>
      </c>
      <c r="BQ118" s="3" t="s">
        <v>201</v>
      </c>
      <c r="BR118" s="3" t="s">
        <v>201</v>
      </c>
      <c r="BS118" s="3" t="s">
        <v>201</v>
      </c>
      <c r="BT118" s="3" t="s">
        <v>201</v>
      </c>
      <c r="BU118" s="3" t="s">
        <v>201</v>
      </c>
      <c r="BV118" s="3" t="s">
        <v>201</v>
      </c>
      <c r="BW118" s="3" t="s">
        <v>201</v>
      </c>
      <c r="BX118" s="3" t="s">
        <v>201</v>
      </c>
      <c r="BY118" s="3" t="s">
        <v>201</v>
      </c>
      <c r="BZ118" s="3" t="s">
        <v>201</v>
      </c>
      <c r="CA118" s="3" t="s">
        <v>201</v>
      </c>
      <c r="CB118" s="3" t="s">
        <v>201</v>
      </c>
      <c r="CC118" s="3" t="s">
        <v>201</v>
      </c>
      <c r="CD118" s="3" t="s">
        <v>201</v>
      </c>
      <c r="CE118" s="3" t="s">
        <v>201</v>
      </c>
      <c r="CF118" s="3" t="s">
        <v>201</v>
      </c>
      <c r="CG118" s="3" t="s">
        <v>201</v>
      </c>
      <c r="CH118" s="3" t="s">
        <v>201</v>
      </c>
      <c r="CI118" s="3" t="s">
        <v>201</v>
      </c>
      <c r="CJ118" s="3" t="s">
        <v>201</v>
      </c>
      <c r="CK118" s="3" t="s">
        <v>201</v>
      </c>
      <c r="CL118" s="3" t="s">
        <v>201</v>
      </c>
      <c r="CM118" s="3" t="s">
        <v>201</v>
      </c>
      <c r="CN118" s="3" t="s">
        <v>201</v>
      </c>
      <c r="CO118" s="3" t="s">
        <v>201</v>
      </c>
      <c r="CP118" s="3" t="s">
        <v>201</v>
      </c>
      <c r="CQ118" s="3" t="s">
        <v>201</v>
      </c>
      <c r="CR118" s="3" t="s">
        <v>201</v>
      </c>
      <c r="CS118" s="3" t="s">
        <v>201</v>
      </c>
      <c r="CT118" s="3" t="s">
        <v>201</v>
      </c>
      <c r="CU118" s="3" t="s">
        <v>201</v>
      </c>
      <c r="CV118" s="3" t="s">
        <v>201</v>
      </c>
      <c r="CW118" s="3" t="s">
        <v>201</v>
      </c>
      <c r="CX118" s="3" t="s">
        <v>201</v>
      </c>
      <c r="CY118" s="3" t="s">
        <v>201</v>
      </c>
      <c r="CZ118" s="3" t="s">
        <v>201</v>
      </c>
      <c r="DA118" s="3" t="s">
        <v>201</v>
      </c>
      <c r="DB118" s="3" t="s">
        <v>201</v>
      </c>
      <c r="DC118" s="3" t="s">
        <v>201</v>
      </c>
      <c r="DD118" s="3" t="s">
        <v>201</v>
      </c>
      <c r="DE118" s="3" t="s">
        <v>201</v>
      </c>
      <c r="DF118" s="3" t="s">
        <v>201</v>
      </c>
      <c r="DG118" s="3" t="s">
        <v>201</v>
      </c>
      <c r="DH118" s="3" t="s">
        <v>201</v>
      </c>
      <c r="DI118" s="3" t="s">
        <v>201</v>
      </c>
      <c r="DJ118" s="3" t="s">
        <v>201</v>
      </c>
      <c r="DK118" s="3" t="s">
        <v>201</v>
      </c>
      <c r="DL118" s="3" t="s">
        <v>201</v>
      </c>
      <c r="DM118" s="3" t="s">
        <v>201</v>
      </c>
      <c r="DN118" s="3" t="s">
        <v>201</v>
      </c>
      <c r="DO118" s="3" t="s">
        <v>201</v>
      </c>
      <c r="DP118" s="3" t="s">
        <v>201</v>
      </c>
      <c r="DQ118" s="3" t="s">
        <v>201</v>
      </c>
      <c r="DR118">
        <f t="shared" si="2"/>
        <v>2024</v>
      </c>
    </row>
    <row r="119" spans="1:122" x14ac:dyDescent="0.35">
      <c r="A119" s="1">
        <f t="shared" si="3"/>
        <v>45566</v>
      </c>
      <c r="B119" s="2">
        <v>3</v>
      </c>
      <c r="C119" s="2">
        <v>4</v>
      </c>
      <c r="D119" s="2">
        <v>2</v>
      </c>
      <c r="E119" s="2" t="s">
        <v>201</v>
      </c>
      <c r="F119" s="2" t="s">
        <v>201</v>
      </c>
      <c r="G119" s="2" t="s">
        <v>201</v>
      </c>
      <c r="H119" s="2" t="s">
        <v>201</v>
      </c>
      <c r="I119" s="2" t="s">
        <v>201</v>
      </c>
      <c r="J119" s="2" t="s">
        <v>201</v>
      </c>
      <c r="K119" s="2" t="s">
        <v>201</v>
      </c>
      <c r="L119" s="2" t="s">
        <v>201</v>
      </c>
      <c r="M119" s="2" t="s">
        <v>201</v>
      </c>
      <c r="N119" s="3" t="s">
        <v>201</v>
      </c>
      <c r="O119" s="3" t="s">
        <v>201</v>
      </c>
      <c r="P119" s="3" t="s">
        <v>201</v>
      </c>
      <c r="Q119" s="3" t="s">
        <v>201</v>
      </c>
      <c r="R119" s="3" t="s">
        <v>201</v>
      </c>
      <c r="S119" s="3" t="s">
        <v>201</v>
      </c>
      <c r="T119" s="3" t="s">
        <v>201</v>
      </c>
      <c r="U119" s="3" t="s">
        <v>201</v>
      </c>
      <c r="V119" s="3" t="s">
        <v>201</v>
      </c>
      <c r="W119" s="3" t="s">
        <v>201</v>
      </c>
      <c r="X119" s="3" t="s">
        <v>201</v>
      </c>
      <c r="Y119" s="3" t="s">
        <v>201</v>
      </c>
      <c r="Z119" s="3" t="s">
        <v>201</v>
      </c>
      <c r="AA119" s="3" t="s">
        <v>201</v>
      </c>
      <c r="AB119" s="3" t="s">
        <v>201</v>
      </c>
      <c r="AC119" s="3" t="s">
        <v>201</v>
      </c>
      <c r="AD119" s="3" t="s">
        <v>201</v>
      </c>
      <c r="AE119" s="3" t="s">
        <v>201</v>
      </c>
      <c r="AF119" s="3" t="s">
        <v>201</v>
      </c>
      <c r="AG119" s="3" t="s">
        <v>201</v>
      </c>
      <c r="AH119" s="3" t="s">
        <v>201</v>
      </c>
      <c r="AI119" s="3" t="s">
        <v>201</v>
      </c>
      <c r="AJ119" s="3" t="s">
        <v>201</v>
      </c>
      <c r="AK119" s="3" t="s">
        <v>201</v>
      </c>
      <c r="AL119" s="3" t="s">
        <v>201</v>
      </c>
      <c r="AM119" s="3" t="s">
        <v>201</v>
      </c>
      <c r="AN119" s="3" t="s">
        <v>201</v>
      </c>
      <c r="AO119" s="3" t="s">
        <v>201</v>
      </c>
      <c r="AP119" s="3" t="s">
        <v>201</v>
      </c>
      <c r="AQ119" s="3" t="s">
        <v>201</v>
      </c>
      <c r="AR119" s="3" t="s">
        <v>201</v>
      </c>
      <c r="AS119" s="3" t="s">
        <v>201</v>
      </c>
      <c r="AT119" s="3" t="s">
        <v>201</v>
      </c>
      <c r="AU119" s="3" t="s">
        <v>201</v>
      </c>
      <c r="AV119" s="3" t="s">
        <v>201</v>
      </c>
      <c r="AW119" s="3" t="s">
        <v>201</v>
      </c>
      <c r="AX119" s="3" t="s">
        <v>201</v>
      </c>
      <c r="AY119" s="3" t="s">
        <v>201</v>
      </c>
      <c r="AZ119" s="3" t="s">
        <v>201</v>
      </c>
      <c r="BA119" s="3" t="s">
        <v>201</v>
      </c>
      <c r="BB119" s="3" t="s">
        <v>201</v>
      </c>
      <c r="BC119" s="3" t="s">
        <v>201</v>
      </c>
      <c r="BD119" s="3" t="s">
        <v>201</v>
      </c>
      <c r="BE119" s="3" t="s">
        <v>201</v>
      </c>
      <c r="BF119" s="3" t="s">
        <v>201</v>
      </c>
      <c r="BG119" s="3" t="s">
        <v>201</v>
      </c>
      <c r="BH119" s="3" t="s">
        <v>201</v>
      </c>
      <c r="BI119" s="3" t="s">
        <v>201</v>
      </c>
      <c r="BJ119" s="3" t="s">
        <v>201</v>
      </c>
      <c r="BK119" s="3" t="s">
        <v>201</v>
      </c>
      <c r="BL119" s="3" t="s">
        <v>201</v>
      </c>
      <c r="BM119" s="3" t="s">
        <v>201</v>
      </c>
      <c r="BN119" s="3" t="s">
        <v>201</v>
      </c>
      <c r="BO119" s="3" t="s">
        <v>201</v>
      </c>
      <c r="BP119" s="3" t="s">
        <v>201</v>
      </c>
      <c r="BQ119" s="3" t="s">
        <v>201</v>
      </c>
      <c r="BR119" s="3" t="s">
        <v>201</v>
      </c>
      <c r="BS119" s="3" t="s">
        <v>201</v>
      </c>
      <c r="BT119" s="3" t="s">
        <v>201</v>
      </c>
      <c r="BU119" s="3" t="s">
        <v>201</v>
      </c>
      <c r="BV119" s="3" t="s">
        <v>201</v>
      </c>
      <c r="BW119" s="3" t="s">
        <v>201</v>
      </c>
      <c r="BX119" s="3" t="s">
        <v>201</v>
      </c>
      <c r="BY119" s="3" t="s">
        <v>201</v>
      </c>
      <c r="BZ119" s="3" t="s">
        <v>201</v>
      </c>
      <c r="CA119" s="3" t="s">
        <v>201</v>
      </c>
      <c r="CB119" s="3" t="s">
        <v>201</v>
      </c>
      <c r="CC119" s="3" t="s">
        <v>201</v>
      </c>
      <c r="CD119" s="3" t="s">
        <v>201</v>
      </c>
      <c r="CE119" s="3" t="s">
        <v>201</v>
      </c>
      <c r="CF119" s="3" t="s">
        <v>201</v>
      </c>
      <c r="CG119" s="3" t="s">
        <v>201</v>
      </c>
      <c r="CH119" s="3" t="s">
        <v>201</v>
      </c>
      <c r="CI119" s="3" t="s">
        <v>201</v>
      </c>
      <c r="CJ119" s="3" t="s">
        <v>201</v>
      </c>
      <c r="CK119" s="3" t="s">
        <v>201</v>
      </c>
      <c r="CL119" s="3" t="s">
        <v>201</v>
      </c>
      <c r="CM119" s="3" t="s">
        <v>201</v>
      </c>
      <c r="CN119" s="3" t="s">
        <v>201</v>
      </c>
      <c r="CO119" s="3" t="s">
        <v>201</v>
      </c>
      <c r="CP119" s="3" t="s">
        <v>201</v>
      </c>
      <c r="CQ119" s="3" t="s">
        <v>201</v>
      </c>
      <c r="CR119" s="3" t="s">
        <v>201</v>
      </c>
      <c r="CS119" s="3" t="s">
        <v>201</v>
      </c>
      <c r="CT119" s="3" t="s">
        <v>201</v>
      </c>
      <c r="CU119" s="3" t="s">
        <v>201</v>
      </c>
      <c r="CV119" s="3" t="s">
        <v>201</v>
      </c>
      <c r="CW119" s="3" t="s">
        <v>201</v>
      </c>
      <c r="CX119" s="3" t="s">
        <v>201</v>
      </c>
      <c r="CY119" s="3" t="s">
        <v>201</v>
      </c>
      <c r="CZ119" s="3" t="s">
        <v>201</v>
      </c>
      <c r="DA119" s="3" t="s">
        <v>201</v>
      </c>
      <c r="DB119" s="3" t="s">
        <v>201</v>
      </c>
      <c r="DC119" s="3" t="s">
        <v>201</v>
      </c>
      <c r="DD119" s="3" t="s">
        <v>201</v>
      </c>
      <c r="DE119" s="3" t="s">
        <v>201</v>
      </c>
      <c r="DF119" s="3" t="s">
        <v>201</v>
      </c>
      <c r="DG119" s="3" t="s">
        <v>201</v>
      </c>
      <c r="DH119" s="3" t="s">
        <v>201</v>
      </c>
      <c r="DI119" s="3" t="s">
        <v>201</v>
      </c>
      <c r="DJ119" s="3" t="s">
        <v>201</v>
      </c>
      <c r="DK119" s="3" t="s">
        <v>201</v>
      </c>
      <c r="DL119" s="3" t="s">
        <v>201</v>
      </c>
      <c r="DM119" s="3" t="s">
        <v>201</v>
      </c>
      <c r="DN119" s="3" t="s">
        <v>201</v>
      </c>
      <c r="DO119" s="3" t="s">
        <v>201</v>
      </c>
      <c r="DP119" s="3" t="s">
        <v>201</v>
      </c>
      <c r="DQ119" s="3" t="s">
        <v>201</v>
      </c>
      <c r="DR119">
        <f t="shared" si="2"/>
        <v>2024</v>
      </c>
    </row>
    <row r="120" spans="1:122" x14ac:dyDescent="0.35">
      <c r="A120" s="1">
        <f t="shared" si="3"/>
        <v>45597</v>
      </c>
      <c r="B120" s="2">
        <v>6</v>
      </c>
      <c r="C120" s="2">
        <v>4</v>
      </c>
      <c r="D120" s="2" t="s">
        <v>201</v>
      </c>
      <c r="E120" s="2" t="s">
        <v>201</v>
      </c>
      <c r="F120" s="2" t="s">
        <v>201</v>
      </c>
      <c r="G120" s="2" t="s">
        <v>201</v>
      </c>
      <c r="H120" s="2" t="s">
        <v>201</v>
      </c>
      <c r="I120" s="2" t="s">
        <v>201</v>
      </c>
      <c r="J120" s="2" t="s">
        <v>201</v>
      </c>
      <c r="K120" s="2" t="s">
        <v>201</v>
      </c>
      <c r="L120" s="2" t="s">
        <v>201</v>
      </c>
      <c r="M120" s="2" t="s">
        <v>201</v>
      </c>
      <c r="N120" s="3" t="s">
        <v>201</v>
      </c>
      <c r="O120" s="3" t="s">
        <v>201</v>
      </c>
      <c r="P120" s="3" t="s">
        <v>201</v>
      </c>
      <c r="Q120" s="3" t="s">
        <v>201</v>
      </c>
      <c r="R120" s="3" t="s">
        <v>201</v>
      </c>
      <c r="S120" s="3" t="s">
        <v>201</v>
      </c>
      <c r="T120" s="3" t="s">
        <v>201</v>
      </c>
      <c r="U120" s="3" t="s">
        <v>201</v>
      </c>
      <c r="V120" s="3" t="s">
        <v>201</v>
      </c>
      <c r="W120" s="3" t="s">
        <v>201</v>
      </c>
      <c r="X120" s="3" t="s">
        <v>201</v>
      </c>
      <c r="Y120" s="3" t="s">
        <v>201</v>
      </c>
      <c r="Z120" s="3" t="s">
        <v>201</v>
      </c>
      <c r="AA120" s="3" t="s">
        <v>201</v>
      </c>
      <c r="AB120" s="3" t="s">
        <v>201</v>
      </c>
      <c r="AC120" s="3" t="s">
        <v>201</v>
      </c>
      <c r="AD120" s="3" t="s">
        <v>201</v>
      </c>
      <c r="AE120" s="3" t="s">
        <v>201</v>
      </c>
      <c r="AF120" s="3" t="s">
        <v>201</v>
      </c>
      <c r="AG120" s="3" t="s">
        <v>201</v>
      </c>
      <c r="AH120" s="3" t="s">
        <v>201</v>
      </c>
      <c r="AI120" s="3" t="s">
        <v>201</v>
      </c>
      <c r="AJ120" s="3" t="s">
        <v>201</v>
      </c>
      <c r="AK120" s="3" t="s">
        <v>201</v>
      </c>
      <c r="AL120" s="3" t="s">
        <v>201</v>
      </c>
      <c r="AM120" s="3" t="s">
        <v>201</v>
      </c>
      <c r="AN120" s="3" t="s">
        <v>201</v>
      </c>
      <c r="AO120" s="3" t="s">
        <v>201</v>
      </c>
      <c r="AP120" s="3" t="s">
        <v>201</v>
      </c>
      <c r="AQ120" s="3" t="s">
        <v>201</v>
      </c>
      <c r="AR120" s="3" t="s">
        <v>201</v>
      </c>
      <c r="AS120" s="3" t="s">
        <v>201</v>
      </c>
      <c r="AT120" s="3" t="s">
        <v>201</v>
      </c>
      <c r="AU120" s="3" t="s">
        <v>201</v>
      </c>
      <c r="AV120" s="3" t="s">
        <v>201</v>
      </c>
      <c r="AW120" s="3" t="s">
        <v>201</v>
      </c>
      <c r="AX120" s="3" t="s">
        <v>201</v>
      </c>
      <c r="AY120" s="3" t="s">
        <v>201</v>
      </c>
      <c r="AZ120" s="3" t="s">
        <v>201</v>
      </c>
      <c r="BA120" s="3" t="s">
        <v>201</v>
      </c>
      <c r="BB120" s="3" t="s">
        <v>201</v>
      </c>
      <c r="BC120" s="3" t="s">
        <v>201</v>
      </c>
      <c r="BD120" s="3" t="s">
        <v>201</v>
      </c>
      <c r="BE120" s="3" t="s">
        <v>201</v>
      </c>
      <c r="BF120" s="3" t="s">
        <v>201</v>
      </c>
      <c r="BG120" s="3" t="s">
        <v>201</v>
      </c>
      <c r="BH120" s="3" t="s">
        <v>201</v>
      </c>
      <c r="BI120" s="3" t="s">
        <v>201</v>
      </c>
      <c r="BJ120" s="3" t="s">
        <v>201</v>
      </c>
      <c r="BK120" s="3" t="s">
        <v>201</v>
      </c>
      <c r="BL120" s="3" t="s">
        <v>201</v>
      </c>
      <c r="BM120" s="3" t="s">
        <v>201</v>
      </c>
      <c r="BN120" s="3" t="s">
        <v>201</v>
      </c>
      <c r="BO120" s="3" t="s">
        <v>201</v>
      </c>
      <c r="BP120" s="3" t="s">
        <v>201</v>
      </c>
      <c r="BQ120" s="3" t="s">
        <v>201</v>
      </c>
      <c r="BR120" s="3" t="s">
        <v>201</v>
      </c>
      <c r="BS120" s="3" t="s">
        <v>201</v>
      </c>
      <c r="BT120" s="3" t="s">
        <v>201</v>
      </c>
      <c r="BU120" s="3" t="s">
        <v>201</v>
      </c>
      <c r="BV120" s="3" t="s">
        <v>201</v>
      </c>
      <c r="BW120" s="3" t="s">
        <v>201</v>
      </c>
      <c r="BX120" s="3" t="s">
        <v>201</v>
      </c>
      <c r="BY120" s="3" t="s">
        <v>201</v>
      </c>
      <c r="BZ120" s="3" t="s">
        <v>201</v>
      </c>
      <c r="CA120" s="3" t="s">
        <v>201</v>
      </c>
      <c r="CB120" s="3" t="s">
        <v>201</v>
      </c>
      <c r="CC120" s="3" t="s">
        <v>201</v>
      </c>
      <c r="CD120" s="3" t="s">
        <v>201</v>
      </c>
      <c r="CE120" s="3" t="s">
        <v>201</v>
      </c>
      <c r="CF120" s="3" t="s">
        <v>201</v>
      </c>
      <c r="CG120" s="3" t="s">
        <v>201</v>
      </c>
      <c r="CH120" s="3" t="s">
        <v>201</v>
      </c>
      <c r="CI120" s="3" t="s">
        <v>201</v>
      </c>
      <c r="CJ120" s="3" t="s">
        <v>201</v>
      </c>
      <c r="CK120" s="3" t="s">
        <v>201</v>
      </c>
      <c r="CL120" s="3" t="s">
        <v>201</v>
      </c>
      <c r="CM120" s="3" t="s">
        <v>201</v>
      </c>
      <c r="CN120" s="3" t="s">
        <v>201</v>
      </c>
      <c r="CO120" s="3" t="s">
        <v>201</v>
      </c>
      <c r="CP120" s="3" t="s">
        <v>201</v>
      </c>
      <c r="CQ120" s="3" t="s">
        <v>201</v>
      </c>
      <c r="CR120" s="3" t="s">
        <v>201</v>
      </c>
      <c r="CS120" s="3" t="s">
        <v>201</v>
      </c>
      <c r="CT120" s="3" t="s">
        <v>201</v>
      </c>
      <c r="CU120" s="3" t="s">
        <v>201</v>
      </c>
      <c r="CV120" s="3" t="s">
        <v>201</v>
      </c>
      <c r="CW120" s="3" t="s">
        <v>201</v>
      </c>
      <c r="CX120" s="3" t="s">
        <v>201</v>
      </c>
      <c r="CY120" s="3" t="s">
        <v>201</v>
      </c>
      <c r="CZ120" s="3" t="s">
        <v>201</v>
      </c>
      <c r="DA120" s="3" t="s">
        <v>201</v>
      </c>
      <c r="DB120" s="3" t="s">
        <v>201</v>
      </c>
      <c r="DC120" s="3" t="s">
        <v>201</v>
      </c>
      <c r="DD120" s="3" t="s">
        <v>201</v>
      </c>
      <c r="DE120" s="3" t="s">
        <v>201</v>
      </c>
      <c r="DF120" s="3" t="s">
        <v>201</v>
      </c>
      <c r="DG120" s="3" t="s">
        <v>201</v>
      </c>
      <c r="DH120" s="3" t="s">
        <v>201</v>
      </c>
      <c r="DI120" s="3" t="s">
        <v>201</v>
      </c>
      <c r="DJ120" s="3" t="s">
        <v>201</v>
      </c>
      <c r="DK120" s="3" t="s">
        <v>201</v>
      </c>
      <c r="DL120" s="3" t="s">
        <v>201</v>
      </c>
      <c r="DM120" s="3" t="s">
        <v>201</v>
      </c>
      <c r="DN120" s="3" t="s">
        <v>201</v>
      </c>
      <c r="DO120" s="3" t="s">
        <v>201</v>
      </c>
      <c r="DP120" s="3" t="s">
        <v>201</v>
      </c>
      <c r="DQ120" s="3" t="s">
        <v>201</v>
      </c>
      <c r="DR120">
        <f t="shared" si="2"/>
        <v>2024</v>
      </c>
    </row>
    <row r="121" spans="1:122" x14ac:dyDescent="0.35">
      <c r="A121" s="1">
        <f t="shared" si="3"/>
        <v>45627</v>
      </c>
      <c r="B121" s="2">
        <v>4</v>
      </c>
      <c r="C121" s="2" t="s">
        <v>201</v>
      </c>
      <c r="D121" s="2" t="s">
        <v>201</v>
      </c>
      <c r="E121" s="2" t="s">
        <v>201</v>
      </c>
      <c r="F121" s="2" t="s">
        <v>201</v>
      </c>
      <c r="G121" s="2" t="s">
        <v>201</v>
      </c>
      <c r="H121" s="2" t="s">
        <v>201</v>
      </c>
      <c r="I121" s="2" t="s">
        <v>201</v>
      </c>
      <c r="J121" s="2" t="s">
        <v>201</v>
      </c>
      <c r="K121" s="2" t="s">
        <v>201</v>
      </c>
      <c r="L121" s="2" t="s">
        <v>201</v>
      </c>
      <c r="M121" s="2" t="s">
        <v>201</v>
      </c>
      <c r="N121" s="3" t="s">
        <v>201</v>
      </c>
      <c r="O121" s="3" t="s">
        <v>201</v>
      </c>
      <c r="P121" s="3" t="s">
        <v>201</v>
      </c>
      <c r="Q121" s="3" t="s">
        <v>201</v>
      </c>
      <c r="R121" s="3" t="s">
        <v>201</v>
      </c>
      <c r="S121" s="3" t="s">
        <v>201</v>
      </c>
      <c r="T121" s="3" t="s">
        <v>201</v>
      </c>
      <c r="U121" s="3" t="s">
        <v>201</v>
      </c>
      <c r="V121" s="3" t="s">
        <v>201</v>
      </c>
      <c r="W121" s="3" t="s">
        <v>201</v>
      </c>
      <c r="X121" s="3" t="s">
        <v>201</v>
      </c>
      <c r="Y121" s="3" t="s">
        <v>201</v>
      </c>
      <c r="Z121" s="3" t="s">
        <v>201</v>
      </c>
      <c r="AA121" s="3" t="s">
        <v>201</v>
      </c>
      <c r="AB121" s="3" t="s">
        <v>201</v>
      </c>
      <c r="AC121" s="3" t="s">
        <v>201</v>
      </c>
      <c r="AD121" s="3" t="s">
        <v>201</v>
      </c>
      <c r="AE121" s="3" t="s">
        <v>201</v>
      </c>
      <c r="AF121" s="3" t="s">
        <v>201</v>
      </c>
      <c r="AG121" s="3" t="s">
        <v>201</v>
      </c>
      <c r="AH121" s="3" t="s">
        <v>201</v>
      </c>
      <c r="AI121" s="3" t="s">
        <v>201</v>
      </c>
      <c r="AJ121" s="3" t="s">
        <v>201</v>
      </c>
      <c r="AK121" s="3" t="s">
        <v>201</v>
      </c>
      <c r="AL121" s="3" t="s">
        <v>201</v>
      </c>
      <c r="AM121" s="3" t="s">
        <v>201</v>
      </c>
      <c r="AN121" s="3" t="s">
        <v>201</v>
      </c>
      <c r="AO121" s="3" t="s">
        <v>201</v>
      </c>
      <c r="AP121" s="3" t="s">
        <v>201</v>
      </c>
      <c r="AQ121" s="3" t="s">
        <v>201</v>
      </c>
      <c r="AR121" s="3" t="s">
        <v>201</v>
      </c>
      <c r="AS121" s="3" t="s">
        <v>201</v>
      </c>
      <c r="AT121" s="3" t="s">
        <v>201</v>
      </c>
      <c r="AU121" s="3" t="s">
        <v>201</v>
      </c>
      <c r="AV121" s="3" t="s">
        <v>201</v>
      </c>
      <c r="AW121" s="3" t="s">
        <v>201</v>
      </c>
      <c r="AX121" s="3" t="s">
        <v>201</v>
      </c>
      <c r="AY121" s="3" t="s">
        <v>201</v>
      </c>
      <c r="AZ121" s="3" t="s">
        <v>201</v>
      </c>
      <c r="BA121" s="3" t="s">
        <v>201</v>
      </c>
      <c r="BB121" s="3" t="s">
        <v>201</v>
      </c>
      <c r="BC121" s="3" t="s">
        <v>201</v>
      </c>
      <c r="BD121" s="3" t="s">
        <v>201</v>
      </c>
      <c r="BE121" s="3" t="s">
        <v>201</v>
      </c>
      <c r="BF121" s="3" t="s">
        <v>201</v>
      </c>
      <c r="BG121" s="3" t="s">
        <v>201</v>
      </c>
      <c r="BH121" s="3" t="s">
        <v>201</v>
      </c>
      <c r="BI121" s="3" t="s">
        <v>201</v>
      </c>
      <c r="BJ121" s="3" t="s">
        <v>201</v>
      </c>
      <c r="BK121" s="3" t="s">
        <v>201</v>
      </c>
      <c r="BL121" s="3" t="s">
        <v>201</v>
      </c>
      <c r="BM121" s="3" t="s">
        <v>201</v>
      </c>
      <c r="BN121" s="3" t="s">
        <v>201</v>
      </c>
      <c r="BO121" s="3" t="s">
        <v>201</v>
      </c>
      <c r="BP121" s="3" t="s">
        <v>201</v>
      </c>
      <c r="BQ121" s="3" t="s">
        <v>201</v>
      </c>
      <c r="BR121" s="3" t="s">
        <v>201</v>
      </c>
      <c r="BS121" s="3" t="s">
        <v>201</v>
      </c>
      <c r="BT121" s="3" t="s">
        <v>201</v>
      </c>
      <c r="BU121" s="3" t="s">
        <v>201</v>
      </c>
      <c r="BV121" s="3" t="s">
        <v>201</v>
      </c>
      <c r="BW121" s="3" t="s">
        <v>201</v>
      </c>
      <c r="BX121" s="3" t="s">
        <v>201</v>
      </c>
      <c r="BY121" s="3" t="s">
        <v>201</v>
      </c>
      <c r="BZ121" s="3" t="s">
        <v>201</v>
      </c>
      <c r="CA121" s="3" t="s">
        <v>201</v>
      </c>
      <c r="CB121" s="3" t="s">
        <v>201</v>
      </c>
      <c r="CC121" s="3" t="s">
        <v>201</v>
      </c>
      <c r="CD121" s="3" t="s">
        <v>201</v>
      </c>
      <c r="CE121" s="3" t="s">
        <v>201</v>
      </c>
      <c r="CF121" s="3" t="s">
        <v>201</v>
      </c>
      <c r="CG121" s="3" t="s">
        <v>201</v>
      </c>
      <c r="CH121" s="3" t="s">
        <v>201</v>
      </c>
      <c r="CI121" s="3" t="s">
        <v>201</v>
      </c>
      <c r="CJ121" s="3" t="s">
        <v>201</v>
      </c>
      <c r="CK121" s="3" t="s">
        <v>201</v>
      </c>
      <c r="CL121" s="3" t="s">
        <v>201</v>
      </c>
      <c r="CM121" s="3" t="s">
        <v>201</v>
      </c>
      <c r="CN121" s="3" t="s">
        <v>201</v>
      </c>
      <c r="CO121" s="3" t="s">
        <v>201</v>
      </c>
      <c r="CP121" s="3" t="s">
        <v>201</v>
      </c>
      <c r="CQ121" s="3" t="s">
        <v>201</v>
      </c>
      <c r="CR121" s="3" t="s">
        <v>201</v>
      </c>
      <c r="CS121" s="3" t="s">
        <v>201</v>
      </c>
      <c r="CT121" s="3" t="s">
        <v>201</v>
      </c>
      <c r="CU121" s="3" t="s">
        <v>201</v>
      </c>
      <c r="CV121" s="3" t="s">
        <v>201</v>
      </c>
      <c r="CW121" s="3" t="s">
        <v>201</v>
      </c>
      <c r="CX121" s="3" t="s">
        <v>201</v>
      </c>
      <c r="CY121" s="3" t="s">
        <v>201</v>
      </c>
      <c r="CZ121" s="3" t="s">
        <v>201</v>
      </c>
      <c r="DA121" s="3" t="s">
        <v>201</v>
      </c>
      <c r="DB121" s="3" t="s">
        <v>201</v>
      </c>
      <c r="DC121" s="3" t="s">
        <v>201</v>
      </c>
      <c r="DD121" s="3" t="s">
        <v>201</v>
      </c>
      <c r="DE121" s="3" t="s">
        <v>201</v>
      </c>
      <c r="DF121" s="3" t="s">
        <v>201</v>
      </c>
      <c r="DG121" s="3" t="s">
        <v>201</v>
      </c>
      <c r="DH121" s="3" t="s">
        <v>201</v>
      </c>
      <c r="DI121" s="3" t="s">
        <v>201</v>
      </c>
      <c r="DJ121" s="3" t="s">
        <v>201</v>
      </c>
      <c r="DK121" s="3" t="s">
        <v>201</v>
      </c>
      <c r="DL121" s="3" t="s">
        <v>201</v>
      </c>
      <c r="DM121" s="3" t="s">
        <v>201</v>
      </c>
      <c r="DN121" s="3" t="s">
        <v>201</v>
      </c>
      <c r="DO121" s="3" t="s">
        <v>201</v>
      </c>
      <c r="DP121" s="3" t="s">
        <v>201</v>
      </c>
      <c r="DQ121" s="3" t="s">
        <v>201</v>
      </c>
      <c r="DR121">
        <f t="shared" si="2"/>
        <v>2024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6CB51-2D85-4518-9406-62D1C959A773}">
  <sheetPr>
    <tabColor theme="4" tint="-0.499984740745262"/>
  </sheetPr>
  <dimension ref="A1:V121"/>
  <sheetViews>
    <sheetView showGridLines="0" zoomScale="54" workbookViewId="0">
      <selection activeCell="X19" sqref="X19"/>
    </sheetView>
  </sheetViews>
  <sheetFormatPr defaultRowHeight="14.5" x14ac:dyDescent="0.35"/>
  <cols>
    <col min="1" max="1" width="29.90625" customWidth="1"/>
    <col min="2" max="10" width="15.1796875" bestFit="1" customWidth="1"/>
    <col min="11" max="30" width="16.1796875" bestFit="1" customWidth="1"/>
  </cols>
  <sheetData>
    <row r="1" spans="1:22" ht="29" x14ac:dyDescent="0.35">
      <c r="A1" s="6" t="s">
        <v>0</v>
      </c>
      <c r="B1" s="1" t="s">
        <v>180</v>
      </c>
      <c r="C1" s="1" t="s">
        <v>181</v>
      </c>
      <c r="D1" s="1" t="s">
        <v>182</v>
      </c>
      <c r="E1" s="1" t="s">
        <v>183</v>
      </c>
      <c r="F1" s="1" t="s">
        <v>184</v>
      </c>
      <c r="G1" s="1" t="s">
        <v>185</v>
      </c>
      <c r="H1" s="1" t="s">
        <v>186</v>
      </c>
      <c r="I1" s="1" t="s">
        <v>187</v>
      </c>
      <c r="J1" s="1" t="s">
        <v>188</v>
      </c>
      <c r="K1" s="1" t="s">
        <v>189</v>
      </c>
      <c r="L1" s="1" t="s">
        <v>190</v>
      </c>
      <c r="M1" s="1" t="s">
        <v>191</v>
      </c>
      <c r="N1" s="1" t="s">
        <v>192</v>
      </c>
      <c r="O1" s="1" t="s">
        <v>193</v>
      </c>
      <c r="P1" s="1" t="s">
        <v>194</v>
      </c>
      <c r="Q1" s="1" t="s">
        <v>195</v>
      </c>
      <c r="R1" s="1" t="s">
        <v>196</v>
      </c>
      <c r="S1" s="1" t="s">
        <v>197</v>
      </c>
      <c r="T1" s="1" t="s">
        <v>198</v>
      </c>
      <c r="U1" s="1" t="s">
        <v>199</v>
      </c>
      <c r="V1" s="1" t="s">
        <v>200</v>
      </c>
    </row>
    <row r="2" spans="1:22" x14ac:dyDescent="0.35">
      <c r="A2" s="4">
        <v>42005</v>
      </c>
      <c r="B2" s="5">
        <v>0</v>
      </c>
      <c r="C2" s="5">
        <v>0</v>
      </c>
      <c r="D2" s="5">
        <v>0</v>
      </c>
      <c r="E2" s="5">
        <v>0</v>
      </c>
      <c r="F2" s="5">
        <v>0</v>
      </c>
      <c r="G2" s="5">
        <v>0</v>
      </c>
      <c r="H2" s="5">
        <v>0</v>
      </c>
      <c r="I2" s="5">
        <v>0</v>
      </c>
      <c r="J2" s="5">
        <v>0</v>
      </c>
      <c r="K2" s="5">
        <v>0</v>
      </c>
      <c r="L2" s="5">
        <v>0</v>
      </c>
      <c r="M2" s="5">
        <v>0</v>
      </c>
      <c r="N2" s="5">
        <v>0</v>
      </c>
      <c r="O2" s="5">
        <v>0</v>
      </c>
      <c r="P2" s="5">
        <v>0</v>
      </c>
      <c r="Q2" s="5">
        <v>0</v>
      </c>
      <c r="R2" s="5">
        <v>0</v>
      </c>
      <c r="S2" s="5">
        <v>0</v>
      </c>
      <c r="T2" s="5">
        <v>0</v>
      </c>
      <c r="U2" s="5">
        <v>0</v>
      </c>
      <c r="V2" s="5">
        <v>0</v>
      </c>
    </row>
    <row r="3" spans="1:22" x14ac:dyDescent="0.35">
      <c r="A3" s="1">
        <f>DATE(YEAR(A2),MONTH(A2)+1,DAY(A2))</f>
        <v>42036</v>
      </c>
      <c r="B3" s="2">
        <v>0</v>
      </c>
      <c r="C3" s="2">
        <v>0</v>
      </c>
      <c r="D3" s="2">
        <v>0</v>
      </c>
      <c r="E3" s="2">
        <v>0</v>
      </c>
      <c r="F3" s="2">
        <v>0</v>
      </c>
      <c r="G3" s="2">
        <v>0</v>
      </c>
      <c r="H3" s="2">
        <v>0</v>
      </c>
      <c r="I3" s="2">
        <v>1</v>
      </c>
      <c r="J3" s="2">
        <v>0</v>
      </c>
      <c r="K3" s="2">
        <v>0</v>
      </c>
      <c r="L3" s="2">
        <v>0</v>
      </c>
      <c r="M3" s="2">
        <v>0</v>
      </c>
      <c r="N3" s="3">
        <v>0</v>
      </c>
      <c r="O3" s="3">
        <v>0</v>
      </c>
      <c r="P3" s="3">
        <v>0</v>
      </c>
      <c r="Q3" s="3">
        <v>0</v>
      </c>
      <c r="R3" s="3">
        <v>0</v>
      </c>
      <c r="S3" s="3">
        <v>0</v>
      </c>
      <c r="T3" s="3">
        <v>0</v>
      </c>
      <c r="U3" s="3">
        <v>0</v>
      </c>
      <c r="V3" s="3">
        <v>0</v>
      </c>
    </row>
    <row r="4" spans="1:22" x14ac:dyDescent="0.35">
      <c r="A4" s="1">
        <f t="shared" ref="A4:A67" si="0">DATE(YEAR(A3),MONTH(A3)+1,DAY(A3))</f>
        <v>42064</v>
      </c>
      <c r="B4" s="2">
        <v>0</v>
      </c>
      <c r="C4" s="2">
        <v>0</v>
      </c>
      <c r="D4" s="2">
        <v>0</v>
      </c>
      <c r="E4" s="2">
        <v>0</v>
      </c>
      <c r="F4" s="2">
        <v>0</v>
      </c>
      <c r="G4" s="2">
        <v>0</v>
      </c>
      <c r="H4" s="2">
        <v>0</v>
      </c>
      <c r="I4" s="2">
        <v>1</v>
      </c>
      <c r="J4" s="2">
        <v>0</v>
      </c>
      <c r="K4" s="2">
        <v>0</v>
      </c>
      <c r="L4" s="2">
        <v>0</v>
      </c>
      <c r="M4" s="2">
        <v>0</v>
      </c>
      <c r="N4" s="3">
        <v>0</v>
      </c>
      <c r="O4" s="3">
        <v>0</v>
      </c>
      <c r="P4" s="3">
        <v>0</v>
      </c>
      <c r="Q4" s="3">
        <v>0</v>
      </c>
      <c r="R4" s="3">
        <v>0</v>
      </c>
      <c r="S4" s="3">
        <v>0</v>
      </c>
      <c r="T4" s="3">
        <v>0</v>
      </c>
      <c r="U4" s="3">
        <v>0</v>
      </c>
      <c r="V4" s="3">
        <v>0</v>
      </c>
    </row>
    <row r="5" spans="1:22" x14ac:dyDescent="0.35">
      <c r="A5" s="1">
        <f t="shared" si="0"/>
        <v>42095</v>
      </c>
      <c r="B5" s="2">
        <v>0</v>
      </c>
      <c r="C5" s="2">
        <v>0</v>
      </c>
      <c r="D5" s="2">
        <v>1</v>
      </c>
      <c r="E5" s="2">
        <v>1</v>
      </c>
      <c r="F5" s="2">
        <v>0</v>
      </c>
      <c r="G5" s="2">
        <v>0</v>
      </c>
      <c r="H5" s="2">
        <v>0</v>
      </c>
      <c r="I5" s="2">
        <v>0</v>
      </c>
      <c r="J5" s="2">
        <v>0</v>
      </c>
      <c r="K5" s="2">
        <v>0</v>
      </c>
      <c r="L5" s="2">
        <v>0</v>
      </c>
      <c r="M5" s="2">
        <v>0</v>
      </c>
      <c r="N5" s="3">
        <v>0</v>
      </c>
      <c r="O5" s="3">
        <v>1</v>
      </c>
      <c r="P5" s="3">
        <v>0</v>
      </c>
      <c r="Q5" s="3">
        <v>0</v>
      </c>
      <c r="R5" s="3">
        <v>1</v>
      </c>
      <c r="S5" s="3">
        <v>0</v>
      </c>
      <c r="T5" s="3">
        <v>1</v>
      </c>
      <c r="U5" s="3">
        <v>0</v>
      </c>
      <c r="V5" s="3">
        <v>0</v>
      </c>
    </row>
    <row r="6" spans="1:22" x14ac:dyDescent="0.35">
      <c r="A6" s="1">
        <f t="shared" si="0"/>
        <v>42125</v>
      </c>
      <c r="B6" s="2">
        <v>0</v>
      </c>
      <c r="C6" s="2">
        <v>0</v>
      </c>
      <c r="D6" s="2">
        <v>0</v>
      </c>
      <c r="E6" s="2">
        <v>1</v>
      </c>
      <c r="F6" s="2">
        <v>0</v>
      </c>
      <c r="G6" s="2">
        <v>0</v>
      </c>
      <c r="H6" s="2">
        <v>0</v>
      </c>
      <c r="I6" s="2">
        <v>0</v>
      </c>
      <c r="J6" s="2">
        <v>1</v>
      </c>
      <c r="K6" s="2">
        <v>0</v>
      </c>
      <c r="L6" s="2">
        <v>0</v>
      </c>
      <c r="M6" s="2">
        <v>0</v>
      </c>
      <c r="N6" s="3">
        <v>0</v>
      </c>
      <c r="O6" s="3">
        <v>0</v>
      </c>
      <c r="P6" s="3">
        <v>0</v>
      </c>
      <c r="Q6" s="3">
        <v>0</v>
      </c>
      <c r="R6" s="3">
        <v>1</v>
      </c>
      <c r="S6" s="3">
        <v>0</v>
      </c>
      <c r="T6" s="3">
        <v>0</v>
      </c>
      <c r="U6" s="3">
        <v>0</v>
      </c>
      <c r="V6" s="3">
        <v>0</v>
      </c>
    </row>
    <row r="7" spans="1:22" x14ac:dyDescent="0.35">
      <c r="A7" s="1">
        <f t="shared" si="0"/>
        <v>42156</v>
      </c>
      <c r="B7" s="2">
        <v>0</v>
      </c>
      <c r="C7" s="2">
        <v>0</v>
      </c>
      <c r="D7" s="2">
        <v>0</v>
      </c>
      <c r="E7" s="2">
        <v>0</v>
      </c>
      <c r="F7" s="2">
        <v>0</v>
      </c>
      <c r="G7" s="2">
        <v>0</v>
      </c>
      <c r="H7" s="2">
        <v>0</v>
      </c>
      <c r="I7" s="2">
        <v>0</v>
      </c>
      <c r="J7" s="2">
        <v>0</v>
      </c>
      <c r="K7" s="2">
        <v>0</v>
      </c>
      <c r="L7" s="2">
        <v>0</v>
      </c>
      <c r="M7" s="2">
        <v>1</v>
      </c>
      <c r="N7" s="3">
        <v>1</v>
      </c>
      <c r="O7" s="3">
        <v>2</v>
      </c>
      <c r="P7" s="3">
        <v>1</v>
      </c>
      <c r="Q7" s="3">
        <v>0</v>
      </c>
      <c r="R7" s="3">
        <v>0</v>
      </c>
      <c r="S7" s="3">
        <v>0</v>
      </c>
      <c r="T7" s="3">
        <v>1</v>
      </c>
      <c r="U7" s="3">
        <v>0</v>
      </c>
      <c r="V7" s="3">
        <v>0</v>
      </c>
    </row>
    <row r="8" spans="1:22" x14ac:dyDescent="0.35">
      <c r="A8" s="1">
        <f t="shared" si="0"/>
        <v>42186</v>
      </c>
      <c r="B8" s="2">
        <v>1</v>
      </c>
      <c r="C8" s="2">
        <v>0</v>
      </c>
      <c r="D8" s="2">
        <v>0</v>
      </c>
      <c r="E8" s="2">
        <v>1</v>
      </c>
      <c r="F8" s="2">
        <v>0</v>
      </c>
      <c r="G8" s="2">
        <v>0</v>
      </c>
      <c r="H8" s="2">
        <v>0</v>
      </c>
      <c r="I8" s="2">
        <v>0</v>
      </c>
      <c r="J8" s="2">
        <v>0</v>
      </c>
      <c r="K8" s="2">
        <v>0</v>
      </c>
      <c r="L8" s="2">
        <v>0</v>
      </c>
      <c r="M8" s="2">
        <v>0</v>
      </c>
      <c r="N8" s="3">
        <v>0</v>
      </c>
      <c r="O8" s="3">
        <v>1</v>
      </c>
      <c r="P8" s="3">
        <v>2</v>
      </c>
      <c r="Q8" s="3">
        <v>1</v>
      </c>
      <c r="R8" s="3">
        <v>0</v>
      </c>
      <c r="S8" s="3">
        <v>0</v>
      </c>
      <c r="T8" s="3">
        <v>0</v>
      </c>
      <c r="U8" s="3">
        <v>1</v>
      </c>
      <c r="V8" s="3">
        <v>0</v>
      </c>
    </row>
    <row r="9" spans="1:22" x14ac:dyDescent="0.35">
      <c r="A9" s="1">
        <f t="shared" si="0"/>
        <v>42217</v>
      </c>
      <c r="B9" s="2">
        <v>0</v>
      </c>
      <c r="C9" s="2">
        <v>1</v>
      </c>
      <c r="D9" s="2">
        <v>0</v>
      </c>
      <c r="E9" s="2">
        <v>1</v>
      </c>
      <c r="F9" s="2">
        <v>0</v>
      </c>
      <c r="G9" s="2">
        <v>0</v>
      </c>
      <c r="H9" s="2">
        <v>0</v>
      </c>
      <c r="I9" s="2">
        <v>0</v>
      </c>
      <c r="J9" s="2">
        <v>0</v>
      </c>
      <c r="K9" s="2">
        <v>0</v>
      </c>
      <c r="L9" s="2">
        <v>0</v>
      </c>
      <c r="M9" s="2">
        <v>1</v>
      </c>
      <c r="N9" s="3">
        <v>1</v>
      </c>
      <c r="O9" s="3">
        <v>0</v>
      </c>
      <c r="P9" s="3">
        <v>1</v>
      </c>
      <c r="Q9" s="3">
        <v>0</v>
      </c>
      <c r="R9" s="3">
        <v>0</v>
      </c>
      <c r="S9" s="3">
        <v>2</v>
      </c>
      <c r="T9" s="3">
        <v>1</v>
      </c>
      <c r="U9" s="3">
        <v>1</v>
      </c>
      <c r="V9" s="3">
        <v>0</v>
      </c>
    </row>
    <row r="10" spans="1:22" x14ac:dyDescent="0.35">
      <c r="A10" s="1">
        <f t="shared" si="0"/>
        <v>42248</v>
      </c>
      <c r="B10" s="2">
        <v>0</v>
      </c>
      <c r="C10" s="2">
        <v>0</v>
      </c>
      <c r="D10" s="2">
        <v>0</v>
      </c>
      <c r="E10" s="2">
        <v>1</v>
      </c>
      <c r="F10" s="2">
        <v>0</v>
      </c>
      <c r="G10" s="2">
        <v>0</v>
      </c>
      <c r="H10" s="2">
        <v>0</v>
      </c>
      <c r="I10" s="2">
        <v>0</v>
      </c>
      <c r="J10" s="2">
        <v>0</v>
      </c>
      <c r="K10" s="2">
        <v>0</v>
      </c>
      <c r="L10" s="2">
        <v>0</v>
      </c>
      <c r="M10" s="2">
        <v>0</v>
      </c>
      <c r="N10" s="3">
        <v>2</v>
      </c>
      <c r="O10" s="3">
        <v>2</v>
      </c>
      <c r="P10" s="3">
        <v>0</v>
      </c>
      <c r="Q10" s="3">
        <v>1</v>
      </c>
      <c r="R10" s="3">
        <v>1</v>
      </c>
      <c r="S10" s="3">
        <v>1</v>
      </c>
      <c r="T10" s="3">
        <v>2</v>
      </c>
      <c r="U10" s="3">
        <v>0</v>
      </c>
      <c r="V10" s="3">
        <v>0</v>
      </c>
    </row>
    <row r="11" spans="1:22" x14ac:dyDescent="0.35">
      <c r="A11" s="1">
        <f t="shared" si="0"/>
        <v>42278</v>
      </c>
      <c r="B11" s="2">
        <v>0</v>
      </c>
      <c r="C11" s="2">
        <v>0</v>
      </c>
      <c r="D11" s="2">
        <v>0</v>
      </c>
      <c r="E11" s="2">
        <v>0</v>
      </c>
      <c r="F11" s="2">
        <v>0</v>
      </c>
      <c r="G11" s="2">
        <v>0</v>
      </c>
      <c r="H11" s="2">
        <v>0</v>
      </c>
      <c r="I11" s="2">
        <v>0</v>
      </c>
      <c r="J11" s="2">
        <v>0</v>
      </c>
      <c r="K11" s="2">
        <v>0</v>
      </c>
      <c r="L11" s="2">
        <v>0</v>
      </c>
      <c r="M11" s="2">
        <v>0</v>
      </c>
      <c r="N11" s="3">
        <v>0</v>
      </c>
      <c r="O11" s="3">
        <v>1</v>
      </c>
      <c r="P11" s="3">
        <v>2</v>
      </c>
      <c r="Q11" s="3">
        <v>0</v>
      </c>
      <c r="R11" s="3">
        <v>0</v>
      </c>
      <c r="S11" s="3">
        <v>0</v>
      </c>
      <c r="T11" s="3">
        <v>2</v>
      </c>
      <c r="U11" s="3">
        <v>1</v>
      </c>
      <c r="V11" s="3">
        <v>0</v>
      </c>
    </row>
    <row r="12" spans="1:22" x14ac:dyDescent="0.35">
      <c r="A12" s="1">
        <f t="shared" si="0"/>
        <v>42309</v>
      </c>
      <c r="B12" s="2">
        <v>1</v>
      </c>
      <c r="C12" s="2">
        <v>0</v>
      </c>
      <c r="D12" s="2">
        <v>0</v>
      </c>
      <c r="E12" s="2">
        <v>0</v>
      </c>
      <c r="F12" s="2">
        <v>1</v>
      </c>
      <c r="G12" s="2">
        <v>0</v>
      </c>
      <c r="H12" s="2">
        <v>1</v>
      </c>
      <c r="I12" s="2">
        <v>0</v>
      </c>
      <c r="J12" s="2">
        <v>0</v>
      </c>
      <c r="K12" s="2">
        <v>0</v>
      </c>
      <c r="L12" s="2">
        <v>0</v>
      </c>
      <c r="M12" s="2">
        <v>0</v>
      </c>
      <c r="N12" s="3">
        <v>0</v>
      </c>
      <c r="O12" s="3">
        <v>0</v>
      </c>
      <c r="P12" s="3">
        <v>0</v>
      </c>
      <c r="Q12" s="3">
        <v>0</v>
      </c>
      <c r="R12" s="3">
        <v>0</v>
      </c>
      <c r="S12" s="3">
        <v>1</v>
      </c>
      <c r="T12" s="3">
        <v>0</v>
      </c>
      <c r="U12" s="3">
        <v>0</v>
      </c>
      <c r="V12" s="3">
        <v>0</v>
      </c>
    </row>
    <row r="13" spans="1:22" x14ac:dyDescent="0.35">
      <c r="A13" s="1">
        <f t="shared" si="0"/>
        <v>42339</v>
      </c>
      <c r="B13" s="2">
        <v>0</v>
      </c>
      <c r="C13" s="2">
        <v>0</v>
      </c>
      <c r="D13" s="2">
        <v>0</v>
      </c>
      <c r="E13" s="2">
        <v>2</v>
      </c>
      <c r="F13" s="2">
        <v>0</v>
      </c>
      <c r="G13" s="2">
        <v>0</v>
      </c>
      <c r="H13" s="2">
        <v>0</v>
      </c>
      <c r="I13" s="2">
        <v>0</v>
      </c>
      <c r="J13" s="2">
        <v>0</v>
      </c>
      <c r="K13" s="2">
        <v>0</v>
      </c>
      <c r="L13" s="2">
        <v>0</v>
      </c>
      <c r="M13" s="2">
        <v>0</v>
      </c>
      <c r="N13" s="3">
        <v>1</v>
      </c>
      <c r="O13" s="3">
        <v>1</v>
      </c>
      <c r="P13" s="3">
        <v>1</v>
      </c>
      <c r="Q13" s="3">
        <v>0</v>
      </c>
      <c r="R13" s="3">
        <v>0</v>
      </c>
      <c r="S13" s="3">
        <v>0</v>
      </c>
      <c r="T13" s="3">
        <v>1</v>
      </c>
      <c r="U13" s="3">
        <v>0</v>
      </c>
      <c r="V13" s="3">
        <v>1</v>
      </c>
    </row>
    <row r="14" spans="1:22" x14ac:dyDescent="0.35">
      <c r="A14" s="4">
        <f>DATE(YEAR(A13),MONTH(A13)+1,DAY(A13))</f>
        <v>42370</v>
      </c>
      <c r="B14" s="5">
        <v>1</v>
      </c>
      <c r="C14" s="5">
        <v>0</v>
      </c>
      <c r="D14" s="5">
        <v>0</v>
      </c>
      <c r="E14" s="5">
        <v>0</v>
      </c>
      <c r="F14" s="5">
        <v>0</v>
      </c>
      <c r="G14" s="5">
        <v>0</v>
      </c>
      <c r="H14" s="5">
        <v>1</v>
      </c>
      <c r="I14" s="5">
        <v>0</v>
      </c>
      <c r="J14" s="5">
        <v>0</v>
      </c>
      <c r="K14" s="5">
        <v>0</v>
      </c>
      <c r="L14" s="5">
        <v>1</v>
      </c>
      <c r="M14" s="5">
        <v>0</v>
      </c>
      <c r="N14" s="5">
        <v>0</v>
      </c>
      <c r="O14" s="5">
        <v>1</v>
      </c>
      <c r="P14" s="5">
        <v>0</v>
      </c>
      <c r="Q14" s="5">
        <v>0</v>
      </c>
      <c r="R14" s="5">
        <v>0</v>
      </c>
      <c r="S14" s="5">
        <v>0</v>
      </c>
      <c r="T14" s="5">
        <v>0</v>
      </c>
      <c r="U14" s="5">
        <v>0</v>
      </c>
      <c r="V14" s="5"/>
    </row>
    <row r="15" spans="1:22" x14ac:dyDescent="0.35">
      <c r="A15" s="1">
        <f t="shared" si="0"/>
        <v>42401</v>
      </c>
      <c r="B15" s="2">
        <v>0</v>
      </c>
      <c r="C15" s="2">
        <v>0</v>
      </c>
      <c r="D15" s="2">
        <v>0</v>
      </c>
      <c r="E15" s="2">
        <v>1</v>
      </c>
      <c r="F15" s="2">
        <v>0</v>
      </c>
      <c r="G15" s="2">
        <v>0</v>
      </c>
      <c r="H15" s="2">
        <v>0</v>
      </c>
      <c r="I15" s="2">
        <v>1</v>
      </c>
      <c r="J15" s="2">
        <v>0</v>
      </c>
      <c r="K15" s="2">
        <v>0</v>
      </c>
      <c r="L15" s="2">
        <v>0</v>
      </c>
      <c r="M15" s="2">
        <v>0</v>
      </c>
      <c r="N15" s="3">
        <v>1</v>
      </c>
      <c r="O15" s="3">
        <v>0</v>
      </c>
      <c r="P15" s="3">
        <v>0</v>
      </c>
      <c r="Q15" s="3">
        <v>1</v>
      </c>
      <c r="R15" s="3">
        <v>0</v>
      </c>
      <c r="S15" s="3">
        <v>0</v>
      </c>
      <c r="T15" s="3">
        <v>0</v>
      </c>
      <c r="U15" s="3">
        <v>0</v>
      </c>
      <c r="V15" s="3"/>
    </row>
    <row r="16" spans="1:22" x14ac:dyDescent="0.35">
      <c r="A16" s="1">
        <f t="shared" si="0"/>
        <v>42430</v>
      </c>
      <c r="B16" s="2">
        <v>0</v>
      </c>
      <c r="C16" s="2">
        <v>1</v>
      </c>
      <c r="D16" s="2">
        <v>0</v>
      </c>
      <c r="E16" s="2">
        <v>0</v>
      </c>
      <c r="F16" s="2">
        <v>0</v>
      </c>
      <c r="G16" s="2">
        <v>0</v>
      </c>
      <c r="H16" s="2">
        <v>0</v>
      </c>
      <c r="I16" s="2">
        <v>0</v>
      </c>
      <c r="J16" s="2">
        <v>0</v>
      </c>
      <c r="K16" s="2">
        <v>0</v>
      </c>
      <c r="L16" s="2">
        <v>0</v>
      </c>
      <c r="M16" s="2">
        <v>0</v>
      </c>
      <c r="N16" s="3">
        <v>2</v>
      </c>
      <c r="O16" s="3">
        <v>2</v>
      </c>
      <c r="P16" s="3">
        <v>0</v>
      </c>
      <c r="Q16" s="3">
        <v>0</v>
      </c>
      <c r="R16" s="3">
        <v>1</v>
      </c>
      <c r="S16" s="3">
        <v>0</v>
      </c>
      <c r="T16" s="3">
        <v>0</v>
      </c>
      <c r="U16" s="3">
        <v>0</v>
      </c>
      <c r="V16" s="3"/>
    </row>
    <row r="17" spans="1:22" x14ac:dyDescent="0.35">
      <c r="A17" s="1">
        <f t="shared" si="0"/>
        <v>42461</v>
      </c>
      <c r="B17" s="2">
        <v>0</v>
      </c>
      <c r="C17" s="2">
        <v>0</v>
      </c>
      <c r="D17" s="2">
        <v>0</v>
      </c>
      <c r="E17" s="2">
        <v>0</v>
      </c>
      <c r="F17" s="2">
        <v>0</v>
      </c>
      <c r="G17" s="2">
        <v>0</v>
      </c>
      <c r="H17" s="2">
        <v>1</v>
      </c>
      <c r="I17" s="2">
        <v>0</v>
      </c>
      <c r="J17" s="2">
        <v>0</v>
      </c>
      <c r="K17" s="2">
        <v>0</v>
      </c>
      <c r="L17" s="2">
        <v>0</v>
      </c>
      <c r="M17" s="2">
        <v>0</v>
      </c>
      <c r="N17" s="3">
        <v>1</v>
      </c>
      <c r="O17" s="3">
        <v>0</v>
      </c>
      <c r="P17" s="3">
        <v>0</v>
      </c>
      <c r="Q17" s="3">
        <v>0</v>
      </c>
      <c r="R17" s="3">
        <v>0</v>
      </c>
      <c r="S17" s="3">
        <v>0</v>
      </c>
      <c r="T17" s="3">
        <v>0</v>
      </c>
      <c r="U17" s="3">
        <v>1</v>
      </c>
      <c r="V17" s="3"/>
    </row>
    <row r="18" spans="1:22" x14ac:dyDescent="0.35">
      <c r="A18" s="1">
        <f t="shared" si="0"/>
        <v>42491</v>
      </c>
      <c r="B18" s="2">
        <v>1</v>
      </c>
      <c r="C18" s="2">
        <v>0</v>
      </c>
      <c r="D18" s="2">
        <v>0</v>
      </c>
      <c r="E18" s="2">
        <v>0</v>
      </c>
      <c r="F18" s="2">
        <v>0</v>
      </c>
      <c r="G18" s="2">
        <v>0</v>
      </c>
      <c r="H18" s="2">
        <v>0</v>
      </c>
      <c r="I18" s="2">
        <v>0</v>
      </c>
      <c r="J18" s="2">
        <v>0</v>
      </c>
      <c r="K18" s="2">
        <v>1</v>
      </c>
      <c r="L18" s="2">
        <v>0</v>
      </c>
      <c r="M18" s="2">
        <v>0</v>
      </c>
      <c r="N18" s="3">
        <v>0</v>
      </c>
      <c r="O18" s="3">
        <v>2</v>
      </c>
      <c r="P18" s="3">
        <v>0</v>
      </c>
      <c r="Q18" s="3">
        <v>2</v>
      </c>
      <c r="R18" s="3">
        <v>1</v>
      </c>
      <c r="S18" s="3">
        <v>0</v>
      </c>
      <c r="T18" s="3">
        <v>0</v>
      </c>
      <c r="U18" s="3">
        <v>1</v>
      </c>
      <c r="V18" s="3"/>
    </row>
    <row r="19" spans="1:22" x14ac:dyDescent="0.35">
      <c r="A19" s="1">
        <f t="shared" si="0"/>
        <v>42522</v>
      </c>
      <c r="B19" s="2">
        <v>4</v>
      </c>
      <c r="C19" s="2">
        <v>0</v>
      </c>
      <c r="D19" s="2">
        <v>1</v>
      </c>
      <c r="E19" s="2">
        <v>0</v>
      </c>
      <c r="F19" s="2">
        <v>0</v>
      </c>
      <c r="G19" s="2">
        <v>0</v>
      </c>
      <c r="H19" s="2">
        <v>0</v>
      </c>
      <c r="I19" s="2">
        <v>0</v>
      </c>
      <c r="J19" s="2">
        <v>0</v>
      </c>
      <c r="K19" s="2">
        <v>0</v>
      </c>
      <c r="L19" s="2">
        <v>0</v>
      </c>
      <c r="M19" s="2">
        <v>0</v>
      </c>
      <c r="N19" s="3">
        <v>1</v>
      </c>
      <c r="O19" s="3">
        <v>1</v>
      </c>
      <c r="P19" s="3">
        <v>0</v>
      </c>
      <c r="Q19" s="3">
        <v>0</v>
      </c>
      <c r="R19" s="3">
        <v>0</v>
      </c>
      <c r="S19" s="3">
        <v>0</v>
      </c>
      <c r="T19" s="3">
        <v>1</v>
      </c>
      <c r="U19" s="3">
        <v>0</v>
      </c>
      <c r="V19" s="3"/>
    </row>
    <row r="20" spans="1:22" x14ac:dyDescent="0.35">
      <c r="A20" s="1">
        <f t="shared" si="0"/>
        <v>42552</v>
      </c>
      <c r="B20" s="2">
        <v>0</v>
      </c>
      <c r="C20" s="2">
        <v>0</v>
      </c>
      <c r="D20" s="2">
        <v>0</v>
      </c>
      <c r="E20" s="2">
        <v>0</v>
      </c>
      <c r="F20" s="2">
        <v>0</v>
      </c>
      <c r="G20" s="2">
        <v>0</v>
      </c>
      <c r="H20" s="2">
        <v>0</v>
      </c>
      <c r="I20" s="2">
        <v>1</v>
      </c>
      <c r="J20" s="2">
        <v>0</v>
      </c>
      <c r="K20" s="2">
        <v>0</v>
      </c>
      <c r="L20" s="2">
        <v>0</v>
      </c>
      <c r="M20" s="2">
        <v>0</v>
      </c>
      <c r="N20" s="3">
        <v>0</v>
      </c>
      <c r="O20" s="3">
        <v>1</v>
      </c>
      <c r="P20" s="3">
        <v>0</v>
      </c>
      <c r="Q20" s="3">
        <v>0</v>
      </c>
      <c r="R20" s="3">
        <v>1</v>
      </c>
      <c r="S20" s="3">
        <v>0</v>
      </c>
      <c r="T20" s="3">
        <v>2</v>
      </c>
      <c r="U20" s="3">
        <v>0</v>
      </c>
      <c r="V20" s="3"/>
    </row>
    <row r="21" spans="1:22" x14ac:dyDescent="0.35">
      <c r="A21" s="1">
        <f t="shared" si="0"/>
        <v>42583</v>
      </c>
      <c r="B21" s="2">
        <v>0</v>
      </c>
      <c r="C21" s="2">
        <v>1</v>
      </c>
      <c r="D21" s="2">
        <v>0</v>
      </c>
      <c r="E21" s="2">
        <v>0</v>
      </c>
      <c r="F21" s="2">
        <v>0</v>
      </c>
      <c r="G21" s="2">
        <v>0</v>
      </c>
      <c r="H21" s="2">
        <v>0</v>
      </c>
      <c r="I21" s="2">
        <v>0</v>
      </c>
      <c r="J21" s="2">
        <v>0</v>
      </c>
      <c r="K21" s="2">
        <v>0</v>
      </c>
      <c r="L21" s="2">
        <v>0</v>
      </c>
      <c r="M21" s="2">
        <v>1</v>
      </c>
      <c r="N21" s="3">
        <v>1</v>
      </c>
      <c r="O21" s="3">
        <v>2</v>
      </c>
      <c r="P21" s="3">
        <v>1</v>
      </c>
      <c r="Q21" s="3">
        <v>0</v>
      </c>
      <c r="R21" s="3">
        <v>0</v>
      </c>
      <c r="S21" s="3">
        <v>0</v>
      </c>
      <c r="T21" s="3">
        <v>1</v>
      </c>
      <c r="U21" s="3">
        <v>0</v>
      </c>
      <c r="V21" s="3"/>
    </row>
    <row r="22" spans="1:22" x14ac:dyDescent="0.35">
      <c r="A22" s="1">
        <f t="shared" si="0"/>
        <v>42614</v>
      </c>
      <c r="B22" s="2">
        <v>0</v>
      </c>
      <c r="C22" s="2">
        <v>0</v>
      </c>
      <c r="D22" s="2">
        <v>0</v>
      </c>
      <c r="E22" s="2">
        <v>0</v>
      </c>
      <c r="F22" s="2">
        <v>1</v>
      </c>
      <c r="G22" s="2">
        <v>1</v>
      </c>
      <c r="H22" s="2">
        <v>0</v>
      </c>
      <c r="I22" s="2">
        <v>0</v>
      </c>
      <c r="J22" s="2">
        <v>0</v>
      </c>
      <c r="K22" s="2">
        <v>0</v>
      </c>
      <c r="L22" s="2">
        <v>0</v>
      </c>
      <c r="M22" s="2">
        <v>0</v>
      </c>
      <c r="N22" s="3">
        <v>2</v>
      </c>
      <c r="O22" s="3">
        <v>1</v>
      </c>
      <c r="P22" s="3">
        <v>0</v>
      </c>
      <c r="Q22" s="3">
        <v>1</v>
      </c>
      <c r="R22" s="3">
        <v>0</v>
      </c>
      <c r="S22" s="3">
        <v>0</v>
      </c>
      <c r="T22" s="3">
        <v>1</v>
      </c>
      <c r="U22" s="3">
        <v>0</v>
      </c>
      <c r="V22" s="3"/>
    </row>
    <row r="23" spans="1:22" x14ac:dyDescent="0.35">
      <c r="A23" s="1">
        <f t="shared" si="0"/>
        <v>42644</v>
      </c>
      <c r="B23" s="2">
        <v>1</v>
      </c>
      <c r="C23" s="2">
        <v>0</v>
      </c>
      <c r="D23" s="2">
        <v>1</v>
      </c>
      <c r="E23" s="2">
        <v>0</v>
      </c>
      <c r="F23" s="2">
        <v>0</v>
      </c>
      <c r="G23" s="2">
        <v>0</v>
      </c>
      <c r="H23" s="2">
        <v>1</v>
      </c>
      <c r="I23" s="2">
        <v>0</v>
      </c>
      <c r="J23" s="2">
        <v>1</v>
      </c>
      <c r="K23" s="2">
        <v>0</v>
      </c>
      <c r="L23" s="2">
        <v>0</v>
      </c>
      <c r="M23" s="2">
        <v>0</v>
      </c>
      <c r="N23" s="3">
        <v>0</v>
      </c>
      <c r="O23" s="3">
        <v>0</v>
      </c>
      <c r="P23" s="3">
        <v>0</v>
      </c>
      <c r="Q23" s="3">
        <v>0</v>
      </c>
      <c r="R23" s="3">
        <v>0</v>
      </c>
      <c r="S23" s="3">
        <v>0</v>
      </c>
      <c r="T23" s="3">
        <v>1</v>
      </c>
      <c r="U23" s="3">
        <v>1</v>
      </c>
      <c r="V23" s="3"/>
    </row>
    <row r="24" spans="1:22" x14ac:dyDescent="0.35">
      <c r="A24" s="1">
        <f t="shared" si="0"/>
        <v>42675</v>
      </c>
      <c r="B24" s="2">
        <v>0</v>
      </c>
      <c r="C24" s="2">
        <v>0</v>
      </c>
      <c r="D24" s="2">
        <v>0</v>
      </c>
      <c r="E24" s="2">
        <v>2</v>
      </c>
      <c r="F24" s="2">
        <v>0</v>
      </c>
      <c r="G24" s="2">
        <v>0</v>
      </c>
      <c r="H24" s="2">
        <v>0</v>
      </c>
      <c r="I24" s="2">
        <v>0</v>
      </c>
      <c r="J24" s="2">
        <v>0</v>
      </c>
      <c r="K24" s="2">
        <v>0</v>
      </c>
      <c r="L24" s="2">
        <v>0</v>
      </c>
      <c r="M24" s="2">
        <v>0</v>
      </c>
      <c r="N24" s="3">
        <v>0</v>
      </c>
      <c r="O24" s="3">
        <v>1</v>
      </c>
      <c r="P24" s="3">
        <v>1</v>
      </c>
      <c r="Q24" s="3">
        <v>0</v>
      </c>
      <c r="R24" s="3">
        <v>1</v>
      </c>
      <c r="S24" s="3">
        <v>0</v>
      </c>
      <c r="T24" s="3">
        <v>0</v>
      </c>
      <c r="U24" s="3">
        <v>0</v>
      </c>
      <c r="V24" s="3"/>
    </row>
    <row r="25" spans="1:22" x14ac:dyDescent="0.35">
      <c r="A25" s="1">
        <f t="shared" si="0"/>
        <v>42705</v>
      </c>
      <c r="B25" s="2">
        <v>0</v>
      </c>
      <c r="C25" s="2">
        <v>0</v>
      </c>
      <c r="D25" s="2">
        <v>1</v>
      </c>
      <c r="E25" s="2">
        <v>0</v>
      </c>
      <c r="F25" s="2">
        <v>1</v>
      </c>
      <c r="G25" s="2">
        <v>0</v>
      </c>
      <c r="H25" s="2">
        <v>0</v>
      </c>
      <c r="I25" s="2">
        <v>1</v>
      </c>
      <c r="J25" s="2">
        <v>0</v>
      </c>
      <c r="K25" s="2">
        <v>0</v>
      </c>
      <c r="L25" s="2">
        <v>0</v>
      </c>
      <c r="M25" s="2">
        <v>0</v>
      </c>
      <c r="N25" s="3">
        <v>1</v>
      </c>
      <c r="O25" s="3">
        <v>0</v>
      </c>
      <c r="P25" s="3">
        <v>0</v>
      </c>
      <c r="Q25" s="3">
        <v>2</v>
      </c>
      <c r="R25" s="3">
        <v>1</v>
      </c>
      <c r="S25" s="3">
        <v>0</v>
      </c>
      <c r="T25" s="3">
        <v>0</v>
      </c>
      <c r="U25" s="3">
        <v>0</v>
      </c>
      <c r="V25" s="3"/>
    </row>
    <row r="26" spans="1:22" x14ac:dyDescent="0.35">
      <c r="A26" s="4">
        <f t="shared" si="0"/>
        <v>42736</v>
      </c>
      <c r="B26" s="5">
        <v>0</v>
      </c>
      <c r="C26" s="5">
        <v>0</v>
      </c>
      <c r="D26" s="5">
        <v>1</v>
      </c>
      <c r="E26" s="5">
        <v>0</v>
      </c>
      <c r="F26" s="5">
        <v>0</v>
      </c>
      <c r="G26" s="5">
        <v>0</v>
      </c>
      <c r="H26" s="5">
        <v>0</v>
      </c>
      <c r="I26" s="5">
        <v>0</v>
      </c>
      <c r="J26" s="5">
        <v>0</v>
      </c>
      <c r="K26" s="5">
        <v>0</v>
      </c>
      <c r="L26" s="5">
        <v>0</v>
      </c>
      <c r="M26" s="5">
        <v>1</v>
      </c>
      <c r="N26" s="5">
        <v>2</v>
      </c>
      <c r="O26" s="5">
        <v>1</v>
      </c>
      <c r="P26" s="5">
        <v>1</v>
      </c>
      <c r="Q26" s="5">
        <v>0</v>
      </c>
      <c r="R26" s="5">
        <v>2</v>
      </c>
      <c r="S26" s="5">
        <v>2</v>
      </c>
      <c r="T26" s="5">
        <v>0</v>
      </c>
      <c r="U26" s="5"/>
      <c r="V26" s="5"/>
    </row>
    <row r="27" spans="1:22" x14ac:dyDescent="0.35">
      <c r="A27" s="1">
        <f t="shared" si="0"/>
        <v>42767</v>
      </c>
      <c r="B27" s="2">
        <v>0</v>
      </c>
      <c r="C27" s="2">
        <v>1</v>
      </c>
      <c r="D27" s="2">
        <v>0</v>
      </c>
      <c r="E27" s="2">
        <v>0</v>
      </c>
      <c r="F27" s="2">
        <v>0</v>
      </c>
      <c r="G27" s="2">
        <v>1</v>
      </c>
      <c r="H27" s="2">
        <v>0</v>
      </c>
      <c r="I27" s="2">
        <v>0</v>
      </c>
      <c r="J27" s="2">
        <v>0</v>
      </c>
      <c r="K27" s="2">
        <v>0</v>
      </c>
      <c r="L27" s="2">
        <v>0</v>
      </c>
      <c r="M27" s="2">
        <v>0</v>
      </c>
      <c r="N27" s="3">
        <v>0</v>
      </c>
      <c r="O27" s="3">
        <v>1</v>
      </c>
      <c r="P27" s="3">
        <v>0</v>
      </c>
      <c r="Q27" s="3">
        <v>0</v>
      </c>
      <c r="R27" s="3">
        <v>0</v>
      </c>
      <c r="S27" s="3">
        <v>1</v>
      </c>
      <c r="T27" s="3">
        <v>0</v>
      </c>
      <c r="U27" s="3"/>
      <c r="V27" s="3"/>
    </row>
    <row r="28" spans="1:22" x14ac:dyDescent="0.35">
      <c r="A28" s="1">
        <f t="shared" si="0"/>
        <v>42795</v>
      </c>
      <c r="B28" s="2">
        <v>0</v>
      </c>
      <c r="C28" s="2">
        <v>1</v>
      </c>
      <c r="D28" s="2">
        <v>0</v>
      </c>
      <c r="E28" s="2">
        <v>1</v>
      </c>
      <c r="F28" s="2">
        <v>0</v>
      </c>
      <c r="G28" s="2">
        <v>0</v>
      </c>
      <c r="H28" s="2">
        <v>0</v>
      </c>
      <c r="I28" s="2">
        <v>0</v>
      </c>
      <c r="J28" s="2">
        <v>1</v>
      </c>
      <c r="K28" s="2">
        <v>0</v>
      </c>
      <c r="L28" s="2">
        <v>0</v>
      </c>
      <c r="M28" s="2">
        <v>0</v>
      </c>
      <c r="N28" s="3">
        <v>4</v>
      </c>
      <c r="O28" s="3">
        <v>1</v>
      </c>
      <c r="P28" s="3">
        <v>1</v>
      </c>
      <c r="Q28" s="3">
        <v>1</v>
      </c>
      <c r="R28" s="3">
        <v>1</v>
      </c>
      <c r="S28" s="3">
        <v>1</v>
      </c>
      <c r="T28" s="3">
        <v>1</v>
      </c>
      <c r="U28" s="3"/>
      <c r="V28" s="3"/>
    </row>
    <row r="29" spans="1:22" x14ac:dyDescent="0.35">
      <c r="A29" s="1">
        <f t="shared" si="0"/>
        <v>42826</v>
      </c>
      <c r="B29" s="2">
        <v>1</v>
      </c>
      <c r="C29" s="2">
        <v>0</v>
      </c>
      <c r="D29" s="2">
        <v>0</v>
      </c>
      <c r="E29" s="2">
        <v>0</v>
      </c>
      <c r="F29" s="2">
        <v>0</v>
      </c>
      <c r="G29" s="2">
        <v>0</v>
      </c>
      <c r="H29" s="2">
        <v>0</v>
      </c>
      <c r="I29" s="2">
        <v>0</v>
      </c>
      <c r="J29" s="2">
        <v>0</v>
      </c>
      <c r="K29" s="2">
        <v>0</v>
      </c>
      <c r="L29" s="2">
        <v>1</v>
      </c>
      <c r="M29" s="2">
        <v>0</v>
      </c>
      <c r="N29" s="3">
        <v>0</v>
      </c>
      <c r="O29" s="3">
        <v>0</v>
      </c>
      <c r="P29" s="3">
        <v>0</v>
      </c>
      <c r="Q29" s="3">
        <v>0</v>
      </c>
      <c r="R29" s="3">
        <v>0</v>
      </c>
      <c r="S29" s="3">
        <v>0</v>
      </c>
      <c r="T29" s="3">
        <v>0</v>
      </c>
      <c r="U29" s="3"/>
      <c r="V29" s="3"/>
    </row>
    <row r="30" spans="1:22" x14ac:dyDescent="0.35">
      <c r="A30" s="1">
        <f t="shared" si="0"/>
        <v>42856</v>
      </c>
      <c r="B30" s="2">
        <v>0</v>
      </c>
      <c r="C30" s="2">
        <v>0</v>
      </c>
      <c r="D30" s="2">
        <v>0</v>
      </c>
      <c r="E30" s="2">
        <v>0</v>
      </c>
      <c r="F30" s="2">
        <v>0</v>
      </c>
      <c r="G30" s="2">
        <v>0</v>
      </c>
      <c r="H30" s="2">
        <v>0</v>
      </c>
      <c r="I30" s="2">
        <v>0</v>
      </c>
      <c r="J30" s="2">
        <v>0</v>
      </c>
      <c r="K30" s="2">
        <v>0</v>
      </c>
      <c r="L30" s="2">
        <v>0</v>
      </c>
      <c r="M30" s="2">
        <v>0</v>
      </c>
      <c r="N30" s="3">
        <v>0</v>
      </c>
      <c r="O30" s="3">
        <v>4</v>
      </c>
      <c r="P30" s="3">
        <v>0</v>
      </c>
      <c r="Q30" s="3">
        <v>2</v>
      </c>
      <c r="R30" s="3">
        <v>0</v>
      </c>
      <c r="S30" s="3">
        <v>0</v>
      </c>
      <c r="T30" s="3">
        <v>2</v>
      </c>
      <c r="U30" s="3"/>
      <c r="V30" s="3"/>
    </row>
    <row r="31" spans="1:22" x14ac:dyDescent="0.35">
      <c r="A31" s="1">
        <f t="shared" si="0"/>
        <v>42887</v>
      </c>
      <c r="B31" s="2">
        <v>1</v>
      </c>
      <c r="C31" s="2">
        <v>0</v>
      </c>
      <c r="D31" s="2">
        <v>0</v>
      </c>
      <c r="E31" s="2">
        <v>2</v>
      </c>
      <c r="F31" s="2">
        <v>1</v>
      </c>
      <c r="G31" s="2">
        <v>0</v>
      </c>
      <c r="H31" s="2">
        <v>0</v>
      </c>
      <c r="I31" s="2">
        <v>0</v>
      </c>
      <c r="J31" s="2">
        <v>0</v>
      </c>
      <c r="K31" s="2">
        <v>0</v>
      </c>
      <c r="L31" s="2">
        <v>0</v>
      </c>
      <c r="M31" s="2">
        <v>0</v>
      </c>
      <c r="N31" s="3">
        <v>2</v>
      </c>
      <c r="O31" s="3">
        <v>3</v>
      </c>
      <c r="P31" s="3">
        <v>0</v>
      </c>
      <c r="Q31" s="3">
        <v>1</v>
      </c>
      <c r="R31" s="3">
        <v>1</v>
      </c>
      <c r="S31" s="3">
        <v>2</v>
      </c>
      <c r="T31" s="3">
        <v>1</v>
      </c>
      <c r="U31" s="3"/>
      <c r="V31" s="3"/>
    </row>
    <row r="32" spans="1:22" x14ac:dyDescent="0.35">
      <c r="A32" s="1">
        <f t="shared" si="0"/>
        <v>42917</v>
      </c>
      <c r="B32" s="2">
        <v>0</v>
      </c>
      <c r="C32" s="2">
        <v>1</v>
      </c>
      <c r="D32" s="2">
        <v>0</v>
      </c>
      <c r="E32" s="2">
        <v>0</v>
      </c>
      <c r="F32" s="2">
        <v>0</v>
      </c>
      <c r="G32" s="2">
        <v>1</v>
      </c>
      <c r="H32" s="2">
        <v>0</v>
      </c>
      <c r="I32" s="2">
        <v>1</v>
      </c>
      <c r="J32" s="2">
        <v>0</v>
      </c>
      <c r="K32" s="2">
        <v>0</v>
      </c>
      <c r="L32" s="2">
        <v>0</v>
      </c>
      <c r="M32" s="2">
        <v>0</v>
      </c>
      <c r="N32" s="3">
        <v>1</v>
      </c>
      <c r="O32" s="3">
        <v>0</v>
      </c>
      <c r="P32" s="3">
        <v>0</v>
      </c>
      <c r="Q32" s="3">
        <v>0</v>
      </c>
      <c r="R32" s="3">
        <v>0</v>
      </c>
      <c r="S32" s="3">
        <v>0</v>
      </c>
      <c r="T32" s="3">
        <v>0</v>
      </c>
      <c r="U32" s="3"/>
      <c r="V32" s="3"/>
    </row>
    <row r="33" spans="1:22" x14ac:dyDescent="0.35">
      <c r="A33" s="1">
        <f t="shared" si="0"/>
        <v>42948</v>
      </c>
      <c r="B33" s="2">
        <v>1</v>
      </c>
      <c r="C33" s="2">
        <v>0</v>
      </c>
      <c r="D33" s="2">
        <v>2</v>
      </c>
      <c r="E33" s="2">
        <v>0</v>
      </c>
      <c r="F33" s="2">
        <v>0</v>
      </c>
      <c r="G33" s="2">
        <v>0</v>
      </c>
      <c r="H33" s="2">
        <v>0</v>
      </c>
      <c r="I33" s="2">
        <v>0</v>
      </c>
      <c r="J33" s="2">
        <v>0</v>
      </c>
      <c r="K33" s="2">
        <v>1</v>
      </c>
      <c r="L33" s="2">
        <v>0</v>
      </c>
      <c r="M33" s="2">
        <v>0</v>
      </c>
      <c r="N33" s="3">
        <v>2</v>
      </c>
      <c r="O33" s="3">
        <v>4</v>
      </c>
      <c r="P33" s="3">
        <v>1</v>
      </c>
      <c r="Q33" s="3">
        <v>1</v>
      </c>
      <c r="R33" s="3">
        <v>0</v>
      </c>
      <c r="S33" s="3">
        <v>1</v>
      </c>
      <c r="T33" s="3">
        <v>0</v>
      </c>
      <c r="U33" s="3"/>
      <c r="V33" s="3"/>
    </row>
    <row r="34" spans="1:22" x14ac:dyDescent="0.35">
      <c r="A34" s="1">
        <f t="shared" si="0"/>
        <v>42979</v>
      </c>
      <c r="B34" s="2">
        <v>0</v>
      </c>
      <c r="C34" s="2">
        <v>0</v>
      </c>
      <c r="D34" s="2">
        <v>1</v>
      </c>
      <c r="E34" s="2">
        <v>0</v>
      </c>
      <c r="F34" s="2">
        <v>1</v>
      </c>
      <c r="G34" s="2">
        <v>1</v>
      </c>
      <c r="H34" s="2">
        <v>0</v>
      </c>
      <c r="I34" s="2">
        <v>1</v>
      </c>
      <c r="J34" s="2">
        <v>0</v>
      </c>
      <c r="K34" s="2">
        <v>0</v>
      </c>
      <c r="L34" s="2">
        <v>0</v>
      </c>
      <c r="M34" s="2">
        <v>0</v>
      </c>
      <c r="N34" s="3">
        <v>2</v>
      </c>
      <c r="O34" s="3">
        <v>2</v>
      </c>
      <c r="P34" s="3">
        <v>1</v>
      </c>
      <c r="Q34" s="3">
        <v>2</v>
      </c>
      <c r="R34" s="3">
        <v>0</v>
      </c>
      <c r="S34" s="3">
        <v>1</v>
      </c>
      <c r="T34" s="3">
        <v>1</v>
      </c>
      <c r="U34" s="3"/>
      <c r="V34" s="3"/>
    </row>
    <row r="35" spans="1:22" x14ac:dyDescent="0.35">
      <c r="A35" s="1">
        <f t="shared" si="0"/>
        <v>43009</v>
      </c>
      <c r="B35" s="2">
        <v>0</v>
      </c>
      <c r="C35" s="2">
        <v>0</v>
      </c>
      <c r="D35" s="2">
        <v>0</v>
      </c>
      <c r="E35" s="2">
        <v>0</v>
      </c>
      <c r="F35" s="2">
        <v>1</v>
      </c>
      <c r="G35" s="2">
        <v>0</v>
      </c>
      <c r="H35" s="2">
        <v>0</v>
      </c>
      <c r="I35" s="2">
        <v>0</v>
      </c>
      <c r="J35" s="2">
        <v>0</v>
      </c>
      <c r="K35" s="2">
        <v>0</v>
      </c>
      <c r="L35" s="2">
        <v>0</v>
      </c>
      <c r="M35" s="2">
        <v>0</v>
      </c>
      <c r="N35" s="3">
        <v>4</v>
      </c>
      <c r="O35" s="3">
        <v>3</v>
      </c>
      <c r="P35" s="3">
        <v>0</v>
      </c>
      <c r="Q35" s="3">
        <v>0</v>
      </c>
      <c r="R35" s="3">
        <v>2</v>
      </c>
      <c r="S35" s="3">
        <v>0</v>
      </c>
      <c r="T35" s="3">
        <v>2</v>
      </c>
      <c r="U35" s="3"/>
      <c r="V35" s="3"/>
    </row>
    <row r="36" spans="1:22" x14ac:dyDescent="0.35">
      <c r="A36" s="1">
        <f t="shared" si="0"/>
        <v>43040</v>
      </c>
      <c r="B36" s="2">
        <v>0</v>
      </c>
      <c r="C36" s="2">
        <v>0</v>
      </c>
      <c r="D36" s="2">
        <v>0</v>
      </c>
      <c r="E36" s="2">
        <v>0</v>
      </c>
      <c r="F36" s="2">
        <v>0</v>
      </c>
      <c r="G36" s="2">
        <v>0</v>
      </c>
      <c r="H36" s="2">
        <v>1</v>
      </c>
      <c r="I36" s="2">
        <v>0</v>
      </c>
      <c r="J36" s="2">
        <v>0</v>
      </c>
      <c r="K36" s="2">
        <v>0</v>
      </c>
      <c r="L36" s="2">
        <v>0</v>
      </c>
      <c r="M36" s="2">
        <v>0</v>
      </c>
      <c r="N36" s="3">
        <v>2</v>
      </c>
      <c r="O36" s="3">
        <v>2</v>
      </c>
      <c r="P36" s="3">
        <v>3</v>
      </c>
      <c r="Q36" s="3">
        <v>2</v>
      </c>
      <c r="R36" s="3">
        <v>1</v>
      </c>
      <c r="S36" s="3">
        <v>1</v>
      </c>
      <c r="T36" s="3">
        <v>0</v>
      </c>
      <c r="U36" s="3"/>
      <c r="V36" s="3"/>
    </row>
    <row r="37" spans="1:22" x14ac:dyDescent="0.35">
      <c r="A37" s="1">
        <f t="shared" si="0"/>
        <v>43070</v>
      </c>
      <c r="B37" s="2">
        <v>0</v>
      </c>
      <c r="C37" s="2">
        <v>1</v>
      </c>
      <c r="D37" s="2">
        <v>0</v>
      </c>
      <c r="E37" s="2">
        <v>0</v>
      </c>
      <c r="F37" s="2">
        <v>0</v>
      </c>
      <c r="G37" s="2">
        <v>0</v>
      </c>
      <c r="H37" s="2">
        <v>0</v>
      </c>
      <c r="I37" s="2">
        <v>0</v>
      </c>
      <c r="J37" s="2">
        <v>0</v>
      </c>
      <c r="K37" s="2">
        <v>0</v>
      </c>
      <c r="L37" s="2">
        <v>0</v>
      </c>
      <c r="M37" s="2">
        <v>0</v>
      </c>
      <c r="N37" s="3">
        <v>8</v>
      </c>
      <c r="O37" s="3">
        <v>3</v>
      </c>
      <c r="P37" s="3">
        <v>2</v>
      </c>
      <c r="Q37" s="3">
        <v>0</v>
      </c>
      <c r="R37" s="3">
        <v>2</v>
      </c>
      <c r="S37" s="3">
        <v>1</v>
      </c>
      <c r="T37" s="3">
        <v>1</v>
      </c>
      <c r="U37" s="3"/>
      <c r="V37" s="3"/>
    </row>
    <row r="38" spans="1:22" x14ac:dyDescent="0.35">
      <c r="A38" s="4">
        <f t="shared" si="0"/>
        <v>43101</v>
      </c>
      <c r="B38" s="5">
        <v>0</v>
      </c>
      <c r="C38" s="5">
        <v>0</v>
      </c>
      <c r="D38" s="5">
        <v>1</v>
      </c>
      <c r="E38" s="5">
        <v>0</v>
      </c>
      <c r="F38" s="5">
        <v>0</v>
      </c>
      <c r="G38" s="5">
        <v>0</v>
      </c>
      <c r="H38" s="5">
        <v>0</v>
      </c>
      <c r="I38" s="5">
        <v>0</v>
      </c>
      <c r="J38" s="5">
        <v>0</v>
      </c>
      <c r="K38" s="5">
        <v>0</v>
      </c>
      <c r="L38" s="5">
        <v>0</v>
      </c>
      <c r="M38" s="5">
        <v>0</v>
      </c>
      <c r="N38" s="5">
        <v>3</v>
      </c>
      <c r="O38" s="5">
        <v>2</v>
      </c>
      <c r="P38" s="5">
        <v>1</v>
      </c>
      <c r="Q38" s="5">
        <v>0</v>
      </c>
      <c r="R38" s="5">
        <v>2</v>
      </c>
      <c r="S38" s="5">
        <v>1</v>
      </c>
      <c r="T38" s="5"/>
      <c r="U38" s="5"/>
      <c r="V38" s="5"/>
    </row>
    <row r="39" spans="1:22" x14ac:dyDescent="0.35">
      <c r="A39" s="1">
        <f t="shared" si="0"/>
        <v>43132</v>
      </c>
      <c r="B39" s="2">
        <v>0</v>
      </c>
      <c r="C39" s="2">
        <v>0</v>
      </c>
      <c r="D39" s="2">
        <v>1</v>
      </c>
      <c r="E39" s="2">
        <v>1</v>
      </c>
      <c r="F39" s="2">
        <v>1</v>
      </c>
      <c r="G39" s="2">
        <v>2</v>
      </c>
      <c r="H39" s="2">
        <v>0</v>
      </c>
      <c r="I39" s="2">
        <v>0</v>
      </c>
      <c r="J39" s="2">
        <v>0</v>
      </c>
      <c r="K39" s="2">
        <v>0</v>
      </c>
      <c r="L39" s="2">
        <v>1</v>
      </c>
      <c r="M39" s="2">
        <v>0</v>
      </c>
      <c r="N39" s="3">
        <v>2</v>
      </c>
      <c r="O39" s="3">
        <v>4</v>
      </c>
      <c r="P39" s="3">
        <v>5</v>
      </c>
      <c r="Q39" s="3">
        <v>1</v>
      </c>
      <c r="R39" s="3">
        <v>0</v>
      </c>
      <c r="S39" s="3">
        <v>3</v>
      </c>
      <c r="T39" s="3"/>
      <c r="U39" s="3"/>
      <c r="V39" s="3"/>
    </row>
    <row r="40" spans="1:22" x14ac:dyDescent="0.35">
      <c r="A40" s="1">
        <f t="shared" si="0"/>
        <v>43160</v>
      </c>
      <c r="B40" s="2">
        <v>0</v>
      </c>
      <c r="C40" s="2">
        <v>0</v>
      </c>
      <c r="D40" s="2">
        <v>1</v>
      </c>
      <c r="E40" s="2">
        <v>1</v>
      </c>
      <c r="F40" s="2">
        <v>0</v>
      </c>
      <c r="G40" s="2">
        <v>0</v>
      </c>
      <c r="H40" s="2">
        <v>0</v>
      </c>
      <c r="I40" s="2">
        <v>1</v>
      </c>
      <c r="J40" s="2">
        <v>0</v>
      </c>
      <c r="K40" s="2">
        <v>0</v>
      </c>
      <c r="L40" s="2">
        <v>1</v>
      </c>
      <c r="M40" s="2">
        <v>0</v>
      </c>
      <c r="N40" s="3">
        <v>5</v>
      </c>
      <c r="O40" s="3">
        <v>4</v>
      </c>
      <c r="P40" s="3">
        <v>3</v>
      </c>
      <c r="Q40" s="3">
        <v>0</v>
      </c>
      <c r="R40" s="3">
        <v>2</v>
      </c>
      <c r="S40" s="3">
        <v>2</v>
      </c>
      <c r="T40" s="3"/>
      <c r="U40" s="3"/>
      <c r="V40" s="3"/>
    </row>
    <row r="41" spans="1:22" x14ac:dyDescent="0.35">
      <c r="A41" s="1">
        <f t="shared" si="0"/>
        <v>43191</v>
      </c>
      <c r="B41" s="2">
        <v>0</v>
      </c>
      <c r="C41" s="2">
        <v>0</v>
      </c>
      <c r="D41" s="2">
        <v>0</v>
      </c>
      <c r="E41" s="2">
        <v>1</v>
      </c>
      <c r="F41" s="2">
        <v>0</v>
      </c>
      <c r="G41" s="2">
        <v>0</v>
      </c>
      <c r="H41" s="2">
        <v>2</v>
      </c>
      <c r="I41" s="2">
        <v>0</v>
      </c>
      <c r="J41" s="2">
        <v>2</v>
      </c>
      <c r="K41" s="2">
        <v>0</v>
      </c>
      <c r="L41" s="2">
        <v>0</v>
      </c>
      <c r="M41" s="2">
        <v>1</v>
      </c>
      <c r="N41" s="3">
        <v>6</v>
      </c>
      <c r="O41" s="3">
        <v>1</v>
      </c>
      <c r="P41" s="3">
        <v>3</v>
      </c>
      <c r="Q41" s="3">
        <v>1</v>
      </c>
      <c r="R41" s="3">
        <v>2</v>
      </c>
      <c r="S41" s="3">
        <v>0</v>
      </c>
      <c r="T41" s="3"/>
      <c r="U41" s="3"/>
      <c r="V41" s="3"/>
    </row>
    <row r="42" spans="1:22" x14ac:dyDescent="0.35">
      <c r="A42" s="1">
        <f t="shared" si="0"/>
        <v>43221</v>
      </c>
      <c r="B42" s="2">
        <v>0</v>
      </c>
      <c r="C42" s="2">
        <v>0</v>
      </c>
      <c r="D42" s="2">
        <v>0</v>
      </c>
      <c r="E42" s="2">
        <v>0</v>
      </c>
      <c r="F42" s="2">
        <v>1</v>
      </c>
      <c r="G42" s="2">
        <v>0</v>
      </c>
      <c r="H42" s="2">
        <v>2</v>
      </c>
      <c r="I42" s="2">
        <v>0</v>
      </c>
      <c r="J42" s="2">
        <v>0</v>
      </c>
      <c r="K42" s="2">
        <v>0</v>
      </c>
      <c r="L42" s="2">
        <v>0</v>
      </c>
      <c r="M42" s="2">
        <v>1</v>
      </c>
      <c r="N42" s="3">
        <v>5</v>
      </c>
      <c r="O42" s="3">
        <v>3</v>
      </c>
      <c r="P42" s="3">
        <v>5</v>
      </c>
      <c r="Q42" s="3">
        <v>3</v>
      </c>
      <c r="R42" s="3">
        <v>0</v>
      </c>
      <c r="S42" s="3">
        <v>0</v>
      </c>
      <c r="T42" s="3"/>
      <c r="U42" s="3"/>
      <c r="V42" s="3"/>
    </row>
    <row r="43" spans="1:22" x14ac:dyDescent="0.35">
      <c r="A43" s="1">
        <f t="shared" si="0"/>
        <v>43252</v>
      </c>
      <c r="B43" s="2">
        <v>0</v>
      </c>
      <c r="C43" s="2">
        <v>0</v>
      </c>
      <c r="D43" s="2">
        <v>1</v>
      </c>
      <c r="E43" s="2">
        <v>2</v>
      </c>
      <c r="F43" s="2">
        <v>2</v>
      </c>
      <c r="G43" s="2">
        <v>1</v>
      </c>
      <c r="H43" s="2">
        <v>0</v>
      </c>
      <c r="I43" s="2">
        <v>0</v>
      </c>
      <c r="J43" s="2">
        <v>0</v>
      </c>
      <c r="K43" s="2">
        <v>0</v>
      </c>
      <c r="L43" s="2">
        <v>0</v>
      </c>
      <c r="M43" s="2">
        <v>0</v>
      </c>
      <c r="N43" s="3">
        <v>10</v>
      </c>
      <c r="O43" s="3">
        <v>3</v>
      </c>
      <c r="P43" s="3">
        <v>4</v>
      </c>
      <c r="Q43" s="3">
        <v>2</v>
      </c>
      <c r="R43" s="3">
        <v>0</v>
      </c>
      <c r="S43" s="3">
        <v>1</v>
      </c>
      <c r="T43" s="3"/>
      <c r="U43" s="3"/>
      <c r="V43" s="3"/>
    </row>
    <row r="44" spans="1:22" x14ac:dyDescent="0.35">
      <c r="A44" s="1">
        <f t="shared" si="0"/>
        <v>43282</v>
      </c>
      <c r="B44" s="2">
        <v>0</v>
      </c>
      <c r="C44" s="2">
        <v>0</v>
      </c>
      <c r="D44" s="2">
        <v>2</v>
      </c>
      <c r="E44" s="2">
        <v>1</v>
      </c>
      <c r="F44" s="2">
        <v>1</v>
      </c>
      <c r="G44" s="2">
        <v>0</v>
      </c>
      <c r="H44" s="2">
        <v>1</v>
      </c>
      <c r="I44" s="2">
        <v>0</v>
      </c>
      <c r="J44" s="2">
        <v>1</v>
      </c>
      <c r="K44" s="2">
        <v>0</v>
      </c>
      <c r="L44" s="2">
        <v>0</v>
      </c>
      <c r="M44" s="2">
        <v>1</v>
      </c>
      <c r="N44" s="3">
        <v>5</v>
      </c>
      <c r="O44" s="3">
        <v>4</v>
      </c>
      <c r="P44" s="3">
        <v>5</v>
      </c>
      <c r="Q44" s="3">
        <v>1</v>
      </c>
      <c r="R44" s="3">
        <v>1</v>
      </c>
      <c r="S44" s="3">
        <v>3</v>
      </c>
      <c r="T44" s="3"/>
      <c r="U44" s="3"/>
      <c r="V44" s="3"/>
    </row>
    <row r="45" spans="1:22" x14ac:dyDescent="0.35">
      <c r="A45" s="1">
        <f t="shared" si="0"/>
        <v>43313</v>
      </c>
      <c r="B45" s="2">
        <v>0</v>
      </c>
      <c r="C45" s="2">
        <v>0</v>
      </c>
      <c r="D45" s="2">
        <v>1</v>
      </c>
      <c r="E45" s="2">
        <v>2</v>
      </c>
      <c r="F45" s="2">
        <v>1</v>
      </c>
      <c r="G45" s="2">
        <v>2</v>
      </c>
      <c r="H45" s="2">
        <v>1</v>
      </c>
      <c r="I45" s="2">
        <v>0</v>
      </c>
      <c r="J45" s="2">
        <v>0</v>
      </c>
      <c r="K45" s="2">
        <v>0</v>
      </c>
      <c r="L45" s="2">
        <v>0</v>
      </c>
      <c r="M45" s="2">
        <v>1</v>
      </c>
      <c r="N45" s="3">
        <v>3</v>
      </c>
      <c r="O45" s="3">
        <v>4</v>
      </c>
      <c r="P45" s="3">
        <v>4</v>
      </c>
      <c r="Q45" s="3">
        <v>3</v>
      </c>
      <c r="R45" s="3">
        <v>3</v>
      </c>
      <c r="S45" s="3">
        <v>0</v>
      </c>
      <c r="T45" s="3"/>
      <c r="U45" s="3"/>
      <c r="V45" s="3"/>
    </row>
    <row r="46" spans="1:22" x14ac:dyDescent="0.35">
      <c r="A46" s="1">
        <f t="shared" si="0"/>
        <v>43344</v>
      </c>
      <c r="B46" s="2">
        <v>0</v>
      </c>
      <c r="C46" s="2">
        <v>0</v>
      </c>
      <c r="D46" s="2">
        <v>1</v>
      </c>
      <c r="E46" s="2">
        <v>1</v>
      </c>
      <c r="F46" s="2">
        <v>1</v>
      </c>
      <c r="G46" s="2">
        <v>1</v>
      </c>
      <c r="H46" s="2">
        <v>0</v>
      </c>
      <c r="I46" s="2">
        <v>2</v>
      </c>
      <c r="J46" s="2">
        <v>3</v>
      </c>
      <c r="K46" s="2">
        <v>1</v>
      </c>
      <c r="L46" s="2">
        <v>1</v>
      </c>
      <c r="M46" s="2">
        <v>1</v>
      </c>
      <c r="N46" s="3">
        <v>5</v>
      </c>
      <c r="O46" s="3">
        <v>7</v>
      </c>
      <c r="P46" s="3">
        <v>2</v>
      </c>
      <c r="Q46" s="3">
        <v>3</v>
      </c>
      <c r="R46" s="3">
        <v>4</v>
      </c>
      <c r="S46" s="3">
        <v>1</v>
      </c>
      <c r="T46" s="3"/>
      <c r="U46" s="3"/>
      <c r="V46" s="3"/>
    </row>
    <row r="47" spans="1:22" x14ac:dyDescent="0.35">
      <c r="A47" s="1">
        <f t="shared" si="0"/>
        <v>43374</v>
      </c>
      <c r="B47" s="2">
        <v>3</v>
      </c>
      <c r="C47" s="2">
        <v>0</v>
      </c>
      <c r="D47" s="2">
        <v>1</v>
      </c>
      <c r="E47" s="2">
        <v>1</v>
      </c>
      <c r="F47" s="2">
        <v>0</v>
      </c>
      <c r="G47" s="2">
        <v>0</v>
      </c>
      <c r="H47" s="2">
        <v>1</v>
      </c>
      <c r="I47" s="2">
        <v>1</v>
      </c>
      <c r="J47" s="2">
        <v>1</v>
      </c>
      <c r="K47" s="2">
        <v>1</v>
      </c>
      <c r="L47" s="2">
        <v>0</v>
      </c>
      <c r="M47" s="2">
        <v>0</v>
      </c>
      <c r="N47" s="3">
        <v>4</v>
      </c>
      <c r="O47" s="3">
        <v>2</v>
      </c>
      <c r="P47" s="3">
        <v>3</v>
      </c>
      <c r="Q47" s="3">
        <v>1</v>
      </c>
      <c r="R47" s="3">
        <v>3</v>
      </c>
      <c r="S47" s="3">
        <v>0</v>
      </c>
      <c r="T47" s="3"/>
      <c r="U47" s="3"/>
      <c r="V47" s="3"/>
    </row>
    <row r="48" spans="1:22" x14ac:dyDescent="0.35">
      <c r="A48" s="1">
        <f t="shared" si="0"/>
        <v>43405</v>
      </c>
      <c r="B48" s="2">
        <v>1</v>
      </c>
      <c r="C48" s="2">
        <v>0</v>
      </c>
      <c r="D48" s="2">
        <v>1</v>
      </c>
      <c r="E48" s="2">
        <v>1</v>
      </c>
      <c r="F48" s="2">
        <v>1</v>
      </c>
      <c r="G48" s="2">
        <v>1</v>
      </c>
      <c r="H48" s="2">
        <v>1</v>
      </c>
      <c r="I48" s="2">
        <v>0</v>
      </c>
      <c r="J48" s="2">
        <v>1</v>
      </c>
      <c r="K48" s="2">
        <v>0</v>
      </c>
      <c r="L48" s="2">
        <v>0</v>
      </c>
      <c r="M48" s="2">
        <v>0</v>
      </c>
      <c r="N48" s="3">
        <v>4</v>
      </c>
      <c r="O48" s="3">
        <v>2</v>
      </c>
      <c r="P48" s="3">
        <v>3</v>
      </c>
      <c r="Q48" s="3">
        <v>3</v>
      </c>
      <c r="R48" s="3">
        <v>0</v>
      </c>
      <c r="S48" s="3">
        <v>0</v>
      </c>
      <c r="T48" s="3"/>
      <c r="U48" s="3"/>
      <c r="V48" s="3"/>
    </row>
    <row r="49" spans="1:22" x14ac:dyDescent="0.35">
      <c r="A49" s="1">
        <f t="shared" si="0"/>
        <v>43435</v>
      </c>
      <c r="B49" s="2">
        <v>2</v>
      </c>
      <c r="C49" s="2">
        <v>0</v>
      </c>
      <c r="D49" s="2">
        <v>0</v>
      </c>
      <c r="E49" s="2">
        <v>2</v>
      </c>
      <c r="F49" s="2">
        <v>5</v>
      </c>
      <c r="G49" s="2">
        <v>0</v>
      </c>
      <c r="H49" s="2">
        <v>0</v>
      </c>
      <c r="I49" s="2">
        <v>0</v>
      </c>
      <c r="J49" s="2">
        <v>1</v>
      </c>
      <c r="K49" s="2">
        <v>1</v>
      </c>
      <c r="L49" s="2">
        <v>1</v>
      </c>
      <c r="M49" s="2">
        <v>0</v>
      </c>
      <c r="N49" s="3">
        <v>7</v>
      </c>
      <c r="O49" s="3">
        <v>4</v>
      </c>
      <c r="P49" s="3">
        <v>4</v>
      </c>
      <c r="Q49" s="3">
        <v>2</v>
      </c>
      <c r="R49" s="3">
        <v>2</v>
      </c>
      <c r="S49" s="3">
        <v>2</v>
      </c>
      <c r="T49" s="3"/>
      <c r="U49" s="3"/>
      <c r="V49" s="3"/>
    </row>
    <row r="50" spans="1:22" x14ac:dyDescent="0.35">
      <c r="A50" s="4">
        <f t="shared" si="0"/>
        <v>43466</v>
      </c>
      <c r="B50" s="5">
        <v>0</v>
      </c>
      <c r="C50" s="5">
        <v>1</v>
      </c>
      <c r="D50" s="5">
        <v>1</v>
      </c>
      <c r="E50" s="5">
        <v>1</v>
      </c>
      <c r="F50" s="5">
        <v>1</v>
      </c>
      <c r="G50" s="5">
        <v>1</v>
      </c>
      <c r="H50" s="5">
        <v>2</v>
      </c>
      <c r="I50" s="5">
        <v>1</v>
      </c>
      <c r="J50" s="5">
        <v>2</v>
      </c>
      <c r="K50" s="5">
        <v>0</v>
      </c>
      <c r="L50" s="5">
        <v>1</v>
      </c>
      <c r="M50" s="5">
        <v>0</v>
      </c>
      <c r="N50" s="5">
        <v>5</v>
      </c>
      <c r="O50" s="5">
        <v>2</v>
      </c>
      <c r="P50" s="5">
        <v>3</v>
      </c>
      <c r="Q50" s="5">
        <v>3</v>
      </c>
      <c r="R50" s="5">
        <v>3</v>
      </c>
      <c r="S50" s="5"/>
      <c r="T50" s="5"/>
      <c r="U50" s="5"/>
      <c r="V50" s="5"/>
    </row>
    <row r="51" spans="1:22" x14ac:dyDescent="0.35">
      <c r="A51" s="1">
        <f t="shared" si="0"/>
        <v>43497</v>
      </c>
      <c r="B51" s="2">
        <v>1</v>
      </c>
      <c r="C51" s="2">
        <v>0</v>
      </c>
      <c r="D51" s="2">
        <v>2</v>
      </c>
      <c r="E51" s="2">
        <v>0</v>
      </c>
      <c r="F51" s="2">
        <v>0</v>
      </c>
      <c r="G51" s="2">
        <v>2</v>
      </c>
      <c r="H51" s="2">
        <v>2</v>
      </c>
      <c r="I51" s="2">
        <v>0</v>
      </c>
      <c r="J51" s="2">
        <v>0</v>
      </c>
      <c r="K51" s="2">
        <v>1</v>
      </c>
      <c r="L51" s="2">
        <v>1</v>
      </c>
      <c r="M51" s="2">
        <v>0</v>
      </c>
      <c r="N51" s="3">
        <v>6</v>
      </c>
      <c r="O51" s="3">
        <v>6</v>
      </c>
      <c r="P51" s="3">
        <v>2</v>
      </c>
      <c r="Q51" s="3">
        <v>3</v>
      </c>
      <c r="R51" s="3">
        <v>0</v>
      </c>
      <c r="S51" s="3"/>
      <c r="T51" s="3"/>
      <c r="U51" s="3"/>
      <c r="V51" s="3"/>
    </row>
    <row r="52" spans="1:22" x14ac:dyDescent="0.35">
      <c r="A52" s="1">
        <f t="shared" si="0"/>
        <v>43525</v>
      </c>
      <c r="B52" s="2">
        <v>1</v>
      </c>
      <c r="C52" s="2">
        <v>1</v>
      </c>
      <c r="D52" s="2">
        <v>0</v>
      </c>
      <c r="E52" s="2">
        <v>1</v>
      </c>
      <c r="F52" s="2">
        <v>1</v>
      </c>
      <c r="G52" s="2">
        <v>1</v>
      </c>
      <c r="H52" s="2">
        <v>1</v>
      </c>
      <c r="I52" s="2">
        <v>0</v>
      </c>
      <c r="J52" s="2">
        <v>1</v>
      </c>
      <c r="K52" s="2">
        <v>2</v>
      </c>
      <c r="L52" s="2">
        <v>1</v>
      </c>
      <c r="M52" s="2">
        <v>0</v>
      </c>
      <c r="N52" s="3">
        <v>8</v>
      </c>
      <c r="O52" s="3">
        <v>4</v>
      </c>
      <c r="P52" s="3">
        <v>5</v>
      </c>
      <c r="Q52" s="3">
        <v>4</v>
      </c>
      <c r="R52" s="3">
        <v>1</v>
      </c>
      <c r="S52" s="3"/>
      <c r="T52" s="3"/>
      <c r="U52" s="3"/>
      <c r="V52" s="3"/>
    </row>
    <row r="53" spans="1:22" x14ac:dyDescent="0.35">
      <c r="A53" s="1">
        <f t="shared" si="0"/>
        <v>43556</v>
      </c>
      <c r="B53" s="2">
        <v>1</v>
      </c>
      <c r="C53" s="2">
        <v>1</v>
      </c>
      <c r="D53" s="2">
        <v>0</v>
      </c>
      <c r="E53" s="2">
        <v>1</v>
      </c>
      <c r="F53" s="2">
        <v>1</v>
      </c>
      <c r="G53" s="2">
        <v>1</v>
      </c>
      <c r="H53" s="2">
        <v>1</v>
      </c>
      <c r="I53" s="2">
        <v>1</v>
      </c>
      <c r="J53" s="2">
        <v>0</v>
      </c>
      <c r="K53" s="2">
        <v>2</v>
      </c>
      <c r="L53" s="2">
        <v>2</v>
      </c>
      <c r="M53" s="2">
        <v>2</v>
      </c>
      <c r="N53" s="3">
        <v>10</v>
      </c>
      <c r="O53" s="3">
        <v>10</v>
      </c>
      <c r="P53" s="3">
        <v>0</v>
      </c>
      <c r="Q53" s="3">
        <v>1</v>
      </c>
      <c r="R53" s="3">
        <v>1</v>
      </c>
      <c r="S53" s="3"/>
      <c r="T53" s="3"/>
      <c r="U53" s="3"/>
      <c r="V53" s="3"/>
    </row>
    <row r="54" spans="1:22" x14ac:dyDescent="0.35">
      <c r="A54" s="1">
        <f t="shared" si="0"/>
        <v>43586</v>
      </c>
      <c r="B54" s="2">
        <v>0</v>
      </c>
      <c r="C54" s="2">
        <v>0</v>
      </c>
      <c r="D54" s="2">
        <v>0</v>
      </c>
      <c r="E54" s="2">
        <v>0</v>
      </c>
      <c r="F54" s="2">
        <v>0</v>
      </c>
      <c r="G54" s="2">
        <v>1</v>
      </c>
      <c r="H54" s="2">
        <v>2</v>
      </c>
      <c r="I54" s="2">
        <v>0</v>
      </c>
      <c r="J54" s="2">
        <v>1</v>
      </c>
      <c r="K54" s="2">
        <v>1</v>
      </c>
      <c r="L54" s="2">
        <v>0</v>
      </c>
      <c r="M54" s="2">
        <v>1</v>
      </c>
      <c r="N54" s="3">
        <v>6</v>
      </c>
      <c r="O54" s="3">
        <v>7</v>
      </c>
      <c r="P54" s="3">
        <v>8</v>
      </c>
      <c r="Q54" s="3">
        <v>4</v>
      </c>
      <c r="R54" s="3">
        <v>1</v>
      </c>
      <c r="S54" s="3"/>
      <c r="T54" s="3"/>
      <c r="U54" s="3"/>
      <c r="V54" s="3"/>
    </row>
    <row r="55" spans="1:22" x14ac:dyDescent="0.35">
      <c r="A55" s="1">
        <f t="shared" si="0"/>
        <v>43617</v>
      </c>
      <c r="B55" s="2">
        <v>4</v>
      </c>
      <c r="C55" s="2">
        <v>0</v>
      </c>
      <c r="D55" s="2">
        <v>1</v>
      </c>
      <c r="E55" s="2">
        <v>2</v>
      </c>
      <c r="F55" s="2">
        <v>0</v>
      </c>
      <c r="G55" s="2">
        <v>2</v>
      </c>
      <c r="H55" s="2">
        <v>1</v>
      </c>
      <c r="I55" s="2">
        <v>0</v>
      </c>
      <c r="J55" s="2">
        <v>3</v>
      </c>
      <c r="K55" s="2">
        <v>0</v>
      </c>
      <c r="L55" s="2">
        <v>1</v>
      </c>
      <c r="M55" s="2">
        <v>1</v>
      </c>
      <c r="N55" s="3">
        <v>3</v>
      </c>
      <c r="O55" s="3">
        <v>2</v>
      </c>
      <c r="P55" s="3">
        <v>1</v>
      </c>
      <c r="Q55" s="3">
        <v>5</v>
      </c>
      <c r="R55" s="3">
        <v>0</v>
      </c>
      <c r="S55" s="3"/>
      <c r="T55" s="3"/>
      <c r="U55" s="3"/>
      <c r="V55" s="3"/>
    </row>
    <row r="56" spans="1:22" x14ac:dyDescent="0.35">
      <c r="A56" s="1">
        <f t="shared" si="0"/>
        <v>43647</v>
      </c>
      <c r="B56" s="2">
        <v>0</v>
      </c>
      <c r="C56" s="2">
        <v>0</v>
      </c>
      <c r="D56" s="2">
        <v>1</v>
      </c>
      <c r="E56" s="2">
        <v>2</v>
      </c>
      <c r="F56" s="2">
        <v>1</v>
      </c>
      <c r="G56" s="2">
        <v>0</v>
      </c>
      <c r="H56" s="2">
        <v>1</v>
      </c>
      <c r="I56" s="2">
        <v>1</v>
      </c>
      <c r="J56" s="2">
        <v>0</v>
      </c>
      <c r="K56" s="2">
        <v>1</v>
      </c>
      <c r="L56" s="2">
        <v>0</v>
      </c>
      <c r="M56" s="2">
        <v>3</v>
      </c>
      <c r="N56" s="3">
        <v>8</v>
      </c>
      <c r="O56" s="3">
        <v>11</v>
      </c>
      <c r="P56" s="3">
        <v>6</v>
      </c>
      <c r="Q56" s="3">
        <v>2</v>
      </c>
      <c r="R56" s="3">
        <v>3</v>
      </c>
      <c r="S56" s="3"/>
      <c r="T56" s="3"/>
      <c r="U56" s="3"/>
      <c r="V56" s="3"/>
    </row>
    <row r="57" spans="1:22" x14ac:dyDescent="0.35">
      <c r="A57" s="1">
        <f t="shared" si="0"/>
        <v>43678</v>
      </c>
      <c r="B57" s="2">
        <v>1</v>
      </c>
      <c r="C57" s="2">
        <v>2</v>
      </c>
      <c r="D57" s="2">
        <v>2</v>
      </c>
      <c r="E57" s="2">
        <v>1</v>
      </c>
      <c r="F57" s="2">
        <v>1</v>
      </c>
      <c r="G57" s="2">
        <v>0</v>
      </c>
      <c r="H57" s="2">
        <v>4</v>
      </c>
      <c r="I57" s="2">
        <v>1</v>
      </c>
      <c r="J57" s="2">
        <v>2</v>
      </c>
      <c r="K57" s="2">
        <v>0</v>
      </c>
      <c r="L57" s="2">
        <v>1</v>
      </c>
      <c r="M57" s="2">
        <v>1</v>
      </c>
      <c r="N57" s="3">
        <v>8</v>
      </c>
      <c r="O57" s="3">
        <v>8</v>
      </c>
      <c r="P57" s="3">
        <v>4</v>
      </c>
      <c r="Q57" s="3">
        <v>4</v>
      </c>
      <c r="R57" s="3">
        <v>0</v>
      </c>
      <c r="S57" s="3"/>
      <c r="T57" s="3"/>
      <c r="U57" s="3"/>
      <c r="V57" s="3"/>
    </row>
    <row r="58" spans="1:22" x14ac:dyDescent="0.35">
      <c r="A58" s="1">
        <f t="shared" si="0"/>
        <v>43709</v>
      </c>
      <c r="B58" s="2">
        <v>0</v>
      </c>
      <c r="C58" s="2">
        <v>1</v>
      </c>
      <c r="D58" s="2">
        <v>1</v>
      </c>
      <c r="E58" s="2">
        <v>0</v>
      </c>
      <c r="F58" s="2">
        <v>1</v>
      </c>
      <c r="G58" s="2">
        <v>1</v>
      </c>
      <c r="H58" s="2">
        <v>2</v>
      </c>
      <c r="I58" s="2">
        <v>1</v>
      </c>
      <c r="J58" s="2">
        <v>1</v>
      </c>
      <c r="K58" s="2">
        <v>3</v>
      </c>
      <c r="L58" s="2">
        <v>0</v>
      </c>
      <c r="M58" s="2">
        <v>1</v>
      </c>
      <c r="N58" s="3">
        <v>8</v>
      </c>
      <c r="O58" s="3">
        <v>9</v>
      </c>
      <c r="P58" s="3">
        <v>7</v>
      </c>
      <c r="Q58" s="3">
        <v>2</v>
      </c>
      <c r="R58" s="3">
        <v>1</v>
      </c>
      <c r="S58" s="3"/>
      <c r="T58" s="3"/>
      <c r="U58" s="3"/>
      <c r="V58" s="3"/>
    </row>
    <row r="59" spans="1:22" x14ac:dyDescent="0.35">
      <c r="A59" s="1">
        <f t="shared" si="0"/>
        <v>43739</v>
      </c>
      <c r="B59" s="2">
        <v>2</v>
      </c>
      <c r="C59" s="2">
        <v>0</v>
      </c>
      <c r="D59" s="2">
        <v>0</v>
      </c>
      <c r="E59" s="2">
        <v>0</v>
      </c>
      <c r="F59" s="2">
        <v>0</v>
      </c>
      <c r="G59" s="2">
        <v>0</v>
      </c>
      <c r="H59" s="2">
        <v>1</v>
      </c>
      <c r="I59" s="2">
        <v>1</v>
      </c>
      <c r="J59" s="2">
        <v>1</v>
      </c>
      <c r="K59" s="2">
        <v>0</v>
      </c>
      <c r="L59" s="2">
        <v>0</v>
      </c>
      <c r="M59" s="2">
        <v>0</v>
      </c>
      <c r="N59" s="3">
        <v>5</v>
      </c>
      <c r="O59" s="3">
        <v>4</v>
      </c>
      <c r="P59" s="3">
        <v>4</v>
      </c>
      <c r="Q59" s="3">
        <v>3</v>
      </c>
      <c r="R59" s="3">
        <v>0</v>
      </c>
      <c r="S59" s="3"/>
      <c r="T59" s="3"/>
      <c r="U59" s="3"/>
      <c r="V59" s="3"/>
    </row>
    <row r="60" spans="1:22" x14ac:dyDescent="0.35">
      <c r="A60" s="1">
        <f t="shared" si="0"/>
        <v>43770</v>
      </c>
      <c r="B60" s="2">
        <v>0</v>
      </c>
      <c r="C60" s="2">
        <v>0</v>
      </c>
      <c r="D60" s="2">
        <v>1</v>
      </c>
      <c r="E60" s="2">
        <v>1</v>
      </c>
      <c r="F60" s="2">
        <v>1</v>
      </c>
      <c r="G60" s="2">
        <v>0</v>
      </c>
      <c r="H60" s="2">
        <v>0</v>
      </c>
      <c r="I60" s="2">
        <v>1</v>
      </c>
      <c r="J60" s="2">
        <v>0</v>
      </c>
      <c r="K60" s="2">
        <v>0</v>
      </c>
      <c r="L60" s="2">
        <v>0</v>
      </c>
      <c r="M60" s="2">
        <v>1</v>
      </c>
      <c r="N60" s="3">
        <v>3</v>
      </c>
      <c r="O60" s="3">
        <v>3</v>
      </c>
      <c r="P60" s="3">
        <v>3</v>
      </c>
      <c r="Q60" s="3">
        <v>1</v>
      </c>
      <c r="R60" s="3">
        <v>0</v>
      </c>
      <c r="S60" s="3"/>
      <c r="T60" s="3"/>
      <c r="U60" s="3"/>
      <c r="V60" s="3"/>
    </row>
    <row r="61" spans="1:22" x14ac:dyDescent="0.35">
      <c r="A61" s="1">
        <f t="shared" si="0"/>
        <v>43800</v>
      </c>
      <c r="B61" s="2">
        <v>3</v>
      </c>
      <c r="C61" s="2">
        <v>1</v>
      </c>
      <c r="D61" s="2">
        <v>0</v>
      </c>
      <c r="E61" s="2">
        <v>2</v>
      </c>
      <c r="F61" s="2">
        <v>1</v>
      </c>
      <c r="G61" s="2">
        <v>1</v>
      </c>
      <c r="H61" s="2">
        <v>0</v>
      </c>
      <c r="I61" s="2">
        <v>0</v>
      </c>
      <c r="J61" s="2">
        <v>2</v>
      </c>
      <c r="K61" s="2">
        <v>0</v>
      </c>
      <c r="L61" s="2">
        <v>1</v>
      </c>
      <c r="M61" s="2">
        <v>1</v>
      </c>
      <c r="N61" s="3">
        <v>6</v>
      </c>
      <c r="O61" s="3">
        <v>7</v>
      </c>
      <c r="P61" s="3">
        <v>4</v>
      </c>
      <c r="Q61" s="3">
        <v>5</v>
      </c>
      <c r="R61" s="3">
        <v>0</v>
      </c>
      <c r="S61" s="3"/>
      <c r="T61" s="3"/>
      <c r="U61" s="3"/>
      <c r="V61" s="3"/>
    </row>
    <row r="62" spans="1:22" x14ac:dyDescent="0.35">
      <c r="A62" s="4">
        <f t="shared" si="0"/>
        <v>43831</v>
      </c>
      <c r="B62" s="5">
        <v>0</v>
      </c>
      <c r="C62" s="5">
        <v>1</v>
      </c>
      <c r="D62" s="5">
        <v>1</v>
      </c>
      <c r="E62" s="5">
        <v>0</v>
      </c>
      <c r="F62" s="5">
        <v>1</v>
      </c>
      <c r="G62" s="5">
        <v>1</v>
      </c>
      <c r="H62" s="5">
        <v>1</v>
      </c>
      <c r="I62" s="5">
        <v>2</v>
      </c>
      <c r="J62" s="5">
        <v>0</v>
      </c>
      <c r="K62" s="5">
        <v>0</v>
      </c>
      <c r="L62" s="5">
        <v>0</v>
      </c>
      <c r="M62" s="5">
        <v>0</v>
      </c>
      <c r="N62" s="5">
        <v>9</v>
      </c>
      <c r="O62" s="5">
        <v>2</v>
      </c>
      <c r="P62" s="5">
        <v>2</v>
      </c>
      <c r="Q62" s="5">
        <v>1</v>
      </c>
      <c r="R62" s="5"/>
      <c r="S62" s="5"/>
      <c r="T62" s="5"/>
      <c r="U62" s="5"/>
      <c r="V62" s="5"/>
    </row>
    <row r="63" spans="1:22" x14ac:dyDescent="0.35">
      <c r="A63" s="1">
        <f t="shared" si="0"/>
        <v>43862</v>
      </c>
      <c r="B63" s="2">
        <v>0</v>
      </c>
      <c r="C63" s="2">
        <v>1</v>
      </c>
      <c r="D63" s="2">
        <v>2</v>
      </c>
      <c r="E63" s="2">
        <v>1</v>
      </c>
      <c r="F63" s="2">
        <v>0</v>
      </c>
      <c r="G63" s="2">
        <v>0</v>
      </c>
      <c r="H63" s="2">
        <v>0</v>
      </c>
      <c r="I63" s="2">
        <v>0</v>
      </c>
      <c r="J63" s="2">
        <v>0</v>
      </c>
      <c r="K63" s="2">
        <v>0</v>
      </c>
      <c r="L63" s="2">
        <v>0</v>
      </c>
      <c r="M63" s="2">
        <v>0</v>
      </c>
      <c r="N63" s="3">
        <v>2</v>
      </c>
      <c r="O63" s="3">
        <v>1</v>
      </c>
      <c r="P63" s="3">
        <v>4</v>
      </c>
      <c r="Q63" s="3">
        <v>1</v>
      </c>
      <c r="R63" s="3"/>
      <c r="S63" s="3"/>
      <c r="T63" s="3"/>
      <c r="U63" s="3"/>
      <c r="V63" s="3"/>
    </row>
    <row r="64" spans="1:22" x14ac:dyDescent="0.35">
      <c r="A64" s="1">
        <f t="shared" si="0"/>
        <v>43891</v>
      </c>
      <c r="B64" s="2">
        <v>0</v>
      </c>
      <c r="C64" s="2">
        <v>0</v>
      </c>
      <c r="D64" s="2">
        <v>0</v>
      </c>
      <c r="E64" s="2">
        <v>1</v>
      </c>
      <c r="F64" s="2">
        <v>0</v>
      </c>
      <c r="G64" s="2">
        <v>1</v>
      </c>
      <c r="H64" s="2">
        <v>1</v>
      </c>
      <c r="I64" s="2">
        <v>0</v>
      </c>
      <c r="J64" s="2">
        <v>0</v>
      </c>
      <c r="K64" s="2">
        <v>0</v>
      </c>
      <c r="L64" s="2">
        <v>2</v>
      </c>
      <c r="M64" s="2">
        <v>2</v>
      </c>
      <c r="N64" s="3">
        <v>3</v>
      </c>
      <c r="O64" s="3">
        <v>0</v>
      </c>
      <c r="P64" s="3">
        <v>1</v>
      </c>
      <c r="Q64" s="3">
        <v>2</v>
      </c>
      <c r="R64" s="3"/>
      <c r="S64" s="3"/>
      <c r="T64" s="3"/>
      <c r="U64" s="3"/>
      <c r="V64" s="3"/>
    </row>
    <row r="65" spans="1:22" x14ac:dyDescent="0.35">
      <c r="A65" s="1">
        <f t="shared" si="0"/>
        <v>43922</v>
      </c>
      <c r="B65" s="2">
        <v>0</v>
      </c>
      <c r="C65" s="2">
        <v>0</v>
      </c>
      <c r="D65" s="2">
        <v>0</v>
      </c>
      <c r="E65" s="2">
        <v>1</v>
      </c>
      <c r="F65" s="2">
        <v>0</v>
      </c>
      <c r="G65" s="2">
        <v>0</v>
      </c>
      <c r="H65" s="2">
        <v>0</v>
      </c>
      <c r="I65" s="2">
        <v>1</v>
      </c>
      <c r="J65" s="2">
        <v>0</v>
      </c>
      <c r="K65" s="2">
        <v>1</v>
      </c>
      <c r="L65" s="2">
        <v>0</v>
      </c>
      <c r="M65" s="2">
        <v>0</v>
      </c>
      <c r="N65" s="3">
        <v>8</v>
      </c>
      <c r="O65" s="3">
        <v>3</v>
      </c>
      <c r="P65" s="3">
        <v>2</v>
      </c>
      <c r="Q65" s="3">
        <v>1</v>
      </c>
      <c r="R65" s="3"/>
      <c r="S65" s="3"/>
      <c r="T65" s="3"/>
      <c r="U65" s="3"/>
      <c r="V65" s="3"/>
    </row>
    <row r="66" spans="1:22" x14ac:dyDescent="0.35">
      <c r="A66" s="1">
        <f t="shared" si="0"/>
        <v>43952</v>
      </c>
      <c r="B66" s="2">
        <v>0</v>
      </c>
      <c r="C66" s="2">
        <v>1</v>
      </c>
      <c r="D66" s="2">
        <v>1</v>
      </c>
      <c r="E66" s="2">
        <v>0</v>
      </c>
      <c r="F66" s="2">
        <v>0</v>
      </c>
      <c r="G66" s="2">
        <v>1</v>
      </c>
      <c r="H66" s="2">
        <v>1</v>
      </c>
      <c r="I66" s="2">
        <v>0</v>
      </c>
      <c r="J66" s="2">
        <v>0</v>
      </c>
      <c r="K66" s="2">
        <v>1</v>
      </c>
      <c r="L66" s="2">
        <v>0</v>
      </c>
      <c r="M66" s="2">
        <v>0</v>
      </c>
      <c r="N66" s="3">
        <v>5</v>
      </c>
      <c r="O66" s="3">
        <v>4</v>
      </c>
      <c r="P66" s="3">
        <v>2</v>
      </c>
      <c r="Q66" s="3">
        <v>1</v>
      </c>
      <c r="R66" s="3"/>
      <c r="S66" s="3"/>
      <c r="T66" s="3"/>
      <c r="U66" s="3"/>
      <c r="V66" s="3"/>
    </row>
    <row r="67" spans="1:22" x14ac:dyDescent="0.35">
      <c r="A67" s="1">
        <f t="shared" si="0"/>
        <v>43983</v>
      </c>
      <c r="B67" s="2">
        <v>1</v>
      </c>
      <c r="C67" s="2">
        <v>1</v>
      </c>
      <c r="D67" s="2">
        <v>2</v>
      </c>
      <c r="E67" s="2">
        <v>2</v>
      </c>
      <c r="F67" s="2">
        <v>0</v>
      </c>
      <c r="G67" s="2">
        <v>0</v>
      </c>
      <c r="H67" s="2">
        <v>0</v>
      </c>
      <c r="I67" s="2">
        <v>0</v>
      </c>
      <c r="J67" s="2">
        <v>1</v>
      </c>
      <c r="K67" s="2">
        <v>2</v>
      </c>
      <c r="L67" s="2">
        <v>0</v>
      </c>
      <c r="M67" s="2">
        <v>2</v>
      </c>
      <c r="N67" s="3">
        <v>3</v>
      </c>
      <c r="O67" s="3">
        <v>8</v>
      </c>
      <c r="P67" s="3">
        <v>2</v>
      </c>
      <c r="Q67" s="3">
        <v>1</v>
      </c>
      <c r="R67" s="3"/>
      <c r="S67" s="3"/>
      <c r="T67" s="3"/>
      <c r="U67" s="3"/>
      <c r="V67" s="3"/>
    </row>
    <row r="68" spans="1:22" x14ac:dyDescent="0.35">
      <c r="A68" s="1">
        <f t="shared" ref="A68:A121" si="1">DATE(YEAR(A67),MONTH(A67)+1,DAY(A67))</f>
        <v>44013</v>
      </c>
      <c r="B68" s="2">
        <v>0</v>
      </c>
      <c r="C68" s="2">
        <v>0</v>
      </c>
      <c r="D68" s="2">
        <v>0</v>
      </c>
      <c r="E68" s="2">
        <v>0</v>
      </c>
      <c r="F68" s="2">
        <v>0</v>
      </c>
      <c r="G68" s="2">
        <v>0</v>
      </c>
      <c r="H68" s="2">
        <v>0</v>
      </c>
      <c r="I68" s="2">
        <v>0</v>
      </c>
      <c r="J68" s="2">
        <v>1</v>
      </c>
      <c r="K68" s="2">
        <v>0</v>
      </c>
      <c r="L68" s="2">
        <v>1</v>
      </c>
      <c r="M68" s="2">
        <v>0</v>
      </c>
      <c r="N68" s="3">
        <v>4</v>
      </c>
      <c r="O68" s="3">
        <v>1</v>
      </c>
      <c r="P68" s="3">
        <v>5</v>
      </c>
      <c r="Q68" s="3">
        <v>0</v>
      </c>
      <c r="R68" s="3"/>
      <c r="S68" s="3"/>
      <c r="T68" s="3"/>
      <c r="U68" s="3"/>
      <c r="V68" s="3"/>
    </row>
    <row r="69" spans="1:22" x14ac:dyDescent="0.35">
      <c r="A69" s="1">
        <f t="shared" si="1"/>
        <v>44044</v>
      </c>
      <c r="B69" s="2">
        <v>0</v>
      </c>
      <c r="C69" s="2">
        <v>0</v>
      </c>
      <c r="D69" s="2">
        <v>0</v>
      </c>
      <c r="E69" s="2">
        <v>0</v>
      </c>
      <c r="F69" s="2">
        <v>1</v>
      </c>
      <c r="G69" s="2">
        <v>1</v>
      </c>
      <c r="H69" s="2">
        <v>2</v>
      </c>
      <c r="I69" s="2">
        <v>0</v>
      </c>
      <c r="J69" s="2">
        <v>1</v>
      </c>
      <c r="K69" s="2">
        <v>0</v>
      </c>
      <c r="L69" s="2">
        <v>0</v>
      </c>
      <c r="M69" s="2">
        <v>1</v>
      </c>
      <c r="N69" s="3">
        <v>3</v>
      </c>
      <c r="O69" s="3">
        <v>5</v>
      </c>
      <c r="P69" s="3">
        <v>9</v>
      </c>
      <c r="Q69" s="3">
        <v>2</v>
      </c>
      <c r="R69" s="3"/>
      <c r="S69" s="3"/>
      <c r="T69" s="3"/>
      <c r="U69" s="3"/>
      <c r="V69" s="3"/>
    </row>
    <row r="70" spans="1:22" x14ac:dyDescent="0.35">
      <c r="A70" s="1">
        <f t="shared" si="1"/>
        <v>44075</v>
      </c>
      <c r="B70" s="2">
        <v>0</v>
      </c>
      <c r="C70" s="2">
        <v>1</v>
      </c>
      <c r="D70" s="2">
        <v>0</v>
      </c>
      <c r="E70" s="2">
        <v>1</v>
      </c>
      <c r="F70" s="2">
        <v>0</v>
      </c>
      <c r="G70" s="2">
        <v>0</v>
      </c>
      <c r="H70" s="2">
        <v>1</v>
      </c>
      <c r="I70" s="2">
        <v>0</v>
      </c>
      <c r="J70" s="2">
        <v>0</v>
      </c>
      <c r="K70" s="2">
        <v>1</v>
      </c>
      <c r="L70" s="2">
        <v>1</v>
      </c>
      <c r="M70" s="2">
        <v>0</v>
      </c>
      <c r="N70" s="3">
        <v>8</v>
      </c>
      <c r="O70" s="3">
        <v>3</v>
      </c>
      <c r="P70" s="3">
        <v>3</v>
      </c>
      <c r="Q70" s="3">
        <v>0</v>
      </c>
      <c r="R70" s="3"/>
      <c r="S70" s="3"/>
      <c r="T70" s="3"/>
      <c r="U70" s="3"/>
      <c r="V70" s="3"/>
    </row>
    <row r="71" spans="1:22" x14ac:dyDescent="0.35">
      <c r="A71" s="1">
        <f t="shared" si="1"/>
        <v>44105</v>
      </c>
      <c r="B71" s="2">
        <v>1</v>
      </c>
      <c r="C71" s="2">
        <v>0</v>
      </c>
      <c r="D71" s="2">
        <v>1</v>
      </c>
      <c r="E71" s="2">
        <v>0</v>
      </c>
      <c r="F71" s="2">
        <v>2</v>
      </c>
      <c r="G71" s="2">
        <v>0</v>
      </c>
      <c r="H71" s="2">
        <v>1</v>
      </c>
      <c r="I71" s="2">
        <v>1</v>
      </c>
      <c r="J71" s="2">
        <v>0</v>
      </c>
      <c r="K71" s="2">
        <v>3</v>
      </c>
      <c r="L71" s="2">
        <v>0</v>
      </c>
      <c r="M71" s="2">
        <v>0</v>
      </c>
      <c r="N71" s="3">
        <v>5</v>
      </c>
      <c r="O71" s="3">
        <v>2</v>
      </c>
      <c r="P71" s="3">
        <v>1</v>
      </c>
      <c r="Q71" s="3">
        <v>1</v>
      </c>
      <c r="R71" s="3"/>
      <c r="S71" s="3"/>
      <c r="T71" s="3"/>
      <c r="U71" s="3"/>
      <c r="V71" s="3"/>
    </row>
    <row r="72" spans="1:22" x14ac:dyDescent="0.35">
      <c r="A72" s="1">
        <f t="shared" si="1"/>
        <v>44136</v>
      </c>
      <c r="B72" s="2">
        <v>1</v>
      </c>
      <c r="C72" s="2">
        <v>0</v>
      </c>
      <c r="D72" s="2">
        <v>0</v>
      </c>
      <c r="E72" s="2">
        <v>0</v>
      </c>
      <c r="F72" s="2">
        <v>0</v>
      </c>
      <c r="G72" s="2">
        <v>2</v>
      </c>
      <c r="H72" s="2">
        <v>0</v>
      </c>
      <c r="I72" s="2">
        <v>1</v>
      </c>
      <c r="J72" s="2">
        <v>1</v>
      </c>
      <c r="K72" s="2">
        <v>0</v>
      </c>
      <c r="L72" s="2">
        <v>1</v>
      </c>
      <c r="M72" s="2">
        <v>1</v>
      </c>
      <c r="N72" s="3">
        <v>6</v>
      </c>
      <c r="O72" s="3">
        <v>4</v>
      </c>
      <c r="P72" s="3">
        <v>5</v>
      </c>
      <c r="Q72" s="3">
        <v>1</v>
      </c>
      <c r="R72" s="3"/>
      <c r="S72" s="3"/>
      <c r="T72" s="3"/>
      <c r="U72" s="3"/>
      <c r="V72" s="3"/>
    </row>
    <row r="73" spans="1:22" x14ac:dyDescent="0.35">
      <c r="A73" s="1">
        <f t="shared" si="1"/>
        <v>44166</v>
      </c>
      <c r="B73" s="2">
        <v>2</v>
      </c>
      <c r="C73" s="2">
        <v>1</v>
      </c>
      <c r="D73" s="2">
        <v>1</v>
      </c>
      <c r="E73" s="2">
        <v>0</v>
      </c>
      <c r="F73" s="2">
        <v>0</v>
      </c>
      <c r="G73" s="2">
        <v>2</v>
      </c>
      <c r="H73" s="2">
        <v>0</v>
      </c>
      <c r="I73" s="2">
        <v>1</v>
      </c>
      <c r="J73" s="2">
        <v>1</v>
      </c>
      <c r="K73" s="2">
        <v>1</v>
      </c>
      <c r="L73" s="2">
        <v>0</v>
      </c>
      <c r="M73" s="2">
        <v>0</v>
      </c>
      <c r="N73" s="3">
        <v>5</v>
      </c>
      <c r="O73" s="3">
        <v>8</v>
      </c>
      <c r="P73" s="3">
        <v>3</v>
      </c>
      <c r="Q73" s="3">
        <v>4</v>
      </c>
      <c r="R73" s="3"/>
      <c r="S73" s="3"/>
      <c r="T73" s="3"/>
      <c r="U73" s="3"/>
      <c r="V73" s="3"/>
    </row>
    <row r="74" spans="1:22" x14ac:dyDescent="0.35">
      <c r="A74" s="4">
        <f t="shared" si="1"/>
        <v>44197</v>
      </c>
      <c r="B74" s="5">
        <v>0</v>
      </c>
      <c r="C74" s="5">
        <v>0</v>
      </c>
      <c r="D74" s="5">
        <v>1</v>
      </c>
      <c r="E74" s="5">
        <v>2</v>
      </c>
      <c r="F74" s="5">
        <v>0</v>
      </c>
      <c r="G74" s="5">
        <v>0</v>
      </c>
      <c r="H74" s="5">
        <v>1</v>
      </c>
      <c r="I74" s="5">
        <v>1</v>
      </c>
      <c r="J74" s="5">
        <v>0</v>
      </c>
      <c r="K74" s="5">
        <v>1</v>
      </c>
      <c r="L74" s="5">
        <v>1</v>
      </c>
      <c r="M74" s="5">
        <v>0</v>
      </c>
      <c r="N74" s="5">
        <v>4</v>
      </c>
      <c r="O74" s="5">
        <v>8</v>
      </c>
      <c r="P74" s="5">
        <v>2</v>
      </c>
      <c r="Q74" s="5"/>
      <c r="R74" s="5"/>
      <c r="S74" s="5"/>
      <c r="T74" s="5"/>
      <c r="U74" s="5"/>
      <c r="V74" s="5"/>
    </row>
    <row r="75" spans="1:22" x14ac:dyDescent="0.35">
      <c r="A75" s="1">
        <f t="shared" si="1"/>
        <v>44228</v>
      </c>
      <c r="B75" s="2">
        <v>0</v>
      </c>
      <c r="C75" s="2">
        <v>1</v>
      </c>
      <c r="D75" s="2">
        <v>1</v>
      </c>
      <c r="E75" s="2">
        <v>0</v>
      </c>
      <c r="F75" s="2">
        <v>0</v>
      </c>
      <c r="G75" s="2">
        <v>0</v>
      </c>
      <c r="H75" s="2">
        <v>1</v>
      </c>
      <c r="I75" s="2">
        <v>0</v>
      </c>
      <c r="J75" s="2">
        <v>0</v>
      </c>
      <c r="K75" s="2">
        <v>0</v>
      </c>
      <c r="L75" s="2">
        <v>0</v>
      </c>
      <c r="M75" s="2">
        <v>0</v>
      </c>
      <c r="N75" s="3">
        <v>6</v>
      </c>
      <c r="O75" s="3">
        <v>4</v>
      </c>
      <c r="P75" s="3">
        <v>2</v>
      </c>
      <c r="Q75" s="3"/>
      <c r="R75" s="3"/>
      <c r="S75" s="3"/>
      <c r="T75" s="3"/>
      <c r="U75" s="3"/>
      <c r="V75" s="3"/>
    </row>
    <row r="76" spans="1:22" x14ac:dyDescent="0.35">
      <c r="A76" s="1">
        <f t="shared" si="1"/>
        <v>44256</v>
      </c>
      <c r="B76" s="2">
        <v>0</v>
      </c>
      <c r="C76" s="2">
        <v>0</v>
      </c>
      <c r="D76" s="2">
        <v>1</v>
      </c>
      <c r="E76" s="2">
        <v>0</v>
      </c>
      <c r="F76" s="2">
        <v>1</v>
      </c>
      <c r="G76" s="2">
        <v>1</v>
      </c>
      <c r="H76" s="2">
        <v>0</v>
      </c>
      <c r="I76" s="2">
        <v>0</v>
      </c>
      <c r="J76" s="2">
        <v>0</v>
      </c>
      <c r="K76" s="2">
        <v>0</v>
      </c>
      <c r="L76" s="2">
        <v>0</v>
      </c>
      <c r="M76" s="2">
        <v>0</v>
      </c>
      <c r="N76" s="3">
        <v>5</v>
      </c>
      <c r="O76" s="3">
        <v>2</v>
      </c>
      <c r="P76" s="3">
        <v>0</v>
      </c>
      <c r="Q76" s="3"/>
      <c r="R76" s="3"/>
      <c r="S76" s="3"/>
      <c r="T76" s="3"/>
      <c r="U76" s="3"/>
      <c r="V76" s="3"/>
    </row>
    <row r="77" spans="1:22" x14ac:dyDescent="0.35">
      <c r="A77" s="1">
        <f t="shared" si="1"/>
        <v>44287</v>
      </c>
      <c r="B77" s="2">
        <v>0</v>
      </c>
      <c r="C77" s="2">
        <v>1</v>
      </c>
      <c r="D77" s="2">
        <v>0</v>
      </c>
      <c r="E77" s="2">
        <v>1</v>
      </c>
      <c r="F77" s="2">
        <v>2</v>
      </c>
      <c r="G77" s="2">
        <v>0</v>
      </c>
      <c r="H77" s="2">
        <v>0</v>
      </c>
      <c r="I77" s="2">
        <v>0</v>
      </c>
      <c r="J77" s="2">
        <v>0</v>
      </c>
      <c r="K77" s="2">
        <v>0</v>
      </c>
      <c r="L77" s="2">
        <v>1</v>
      </c>
      <c r="M77" s="2">
        <v>0</v>
      </c>
      <c r="N77" s="3">
        <v>6</v>
      </c>
      <c r="O77" s="3">
        <v>4</v>
      </c>
      <c r="P77" s="3">
        <v>0</v>
      </c>
      <c r="Q77" s="3"/>
      <c r="R77" s="3"/>
      <c r="S77" s="3"/>
      <c r="T77" s="3"/>
      <c r="U77" s="3"/>
      <c r="V77" s="3"/>
    </row>
    <row r="78" spans="1:22" x14ac:dyDescent="0.35">
      <c r="A78" s="1">
        <f t="shared" si="1"/>
        <v>44317</v>
      </c>
      <c r="B78" s="2">
        <v>3</v>
      </c>
      <c r="C78" s="2">
        <v>0</v>
      </c>
      <c r="D78" s="2">
        <v>0</v>
      </c>
      <c r="E78" s="2">
        <v>2</v>
      </c>
      <c r="F78" s="2">
        <v>0</v>
      </c>
      <c r="G78" s="2">
        <v>0</v>
      </c>
      <c r="H78" s="2">
        <v>1</v>
      </c>
      <c r="I78" s="2">
        <v>0</v>
      </c>
      <c r="J78" s="2">
        <v>0</v>
      </c>
      <c r="K78" s="2">
        <v>2</v>
      </c>
      <c r="L78" s="2">
        <v>0</v>
      </c>
      <c r="M78" s="2">
        <v>1</v>
      </c>
      <c r="N78" s="3">
        <v>3</v>
      </c>
      <c r="O78" s="3">
        <v>1</v>
      </c>
      <c r="P78" s="3">
        <v>1</v>
      </c>
      <c r="Q78" s="3"/>
      <c r="R78" s="3"/>
      <c r="S78" s="3"/>
      <c r="T78" s="3"/>
      <c r="U78" s="3"/>
      <c r="V78" s="3"/>
    </row>
    <row r="79" spans="1:22" x14ac:dyDescent="0.35">
      <c r="A79" s="1">
        <f t="shared" si="1"/>
        <v>44348</v>
      </c>
      <c r="B79" s="2">
        <v>1</v>
      </c>
      <c r="C79" s="2">
        <v>0</v>
      </c>
      <c r="D79" s="2">
        <v>3</v>
      </c>
      <c r="E79" s="2">
        <v>1</v>
      </c>
      <c r="F79" s="2">
        <v>0</v>
      </c>
      <c r="G79" s="2">
        <v>1</v>
      </c>
      <c r="H79" s="2">
        <v>0</v>
      </c>
      <c r="I79" s="2">
        <v>1</v>
      </c>
      <c r="J79" s="2">
        <v>1</v>
      </c>
      <c r="K79" s="2">
        <v>1</v>
      </c>
      <c r="L79" s="2">
        <v>1</v>
      </c>
      <c r="M79" s="2">
        <v>0</v>
      </c>
      <c r="N79" s="3">
        <v>3</v>
      </c>
      <c r="O79" s="3">
        <v>2</v>
      </c>
      <c r="P79" s="3">
        <v>2</v>
      </c>
      <c r="Q79" s="3"/>
      <c r="R79" s="3"/>
      <c r="S79" s="3"/>
      <c r="T79" s="3"/>
      <c r="U79" s="3"/>
      <c r="V79" s="3"/>
    </row>
    <row r="80" spans="1:22" x14ac:dyDescent="0.35">
      <c r="A80" s="1">
        <f t="shared" si="1"/>
        <v>44378</v>
      </c>
      <c r="B80" s="2">
        <v>0</v>
      </c>
      <c r="C80" s="2">
        <v>0</v>
      </c>
      <c r="D80" s="2">
        <v>1</v>
      </c>
      <c r="E80" s="2">
        <v>1</v>
      </c>
      <c r="F80" s="2">
        <v>1</v>
      </c>
      <c r="G80" s="2">
        <v>1</v>
      </c>
      <c r="H80" s="2">
        <v>1</v>
      </c>
      <c r="I80" s="2">
        <v>1</v>
      </c>
      <c r="J80" s="2">
        <v>1</v>
      </c>
      <c r="K80" s="2">
        <v>0</v>
      </c>
      <c r="L80" s="2">
        <v>1</v>
      </c>
      <c r="M80" s="2">
        <v>0</v>
      </c>
      <c r="N80" s="3">
        <v>1</v>
      </c>
      <c r="O80" s="3">
        <v>4</v>
      </c>
      <c r="P80" s="3">
        <v>0</v>
      </c>
      <c r="Q80" s="3"/>
      <c r="R80" s="3"/>
      <c r="S80" s="3"/>
      <c r="T80" s="3"/>
      <c r="U80" s="3"/>
      <c r="V80" s="3"/>
    </row>
    <row r="81" spans="1:22" x14ac:dyDescent="0.35">
      <c r="A81" s="1">
        <f t="shared" si="1"/>
        <v>44409</v>
      </c>
      <c r="B81" s="2">
        <v>2</v>
      </c>
      <c r="C81" s="2">
        <v>0</v>
      </c>
      <c r="D81" s="2">
        <v>0</v>
      </c>
      <c r="E81" s="2">
        <v>1</v>
      </c>
      <c r="F81" s="2">
        <v>0</v>
      </c>
      <c r="G81" s="2">
        <v>1</v>
      </c>
      <c r="H81" s="2">
        <v>0</v>
      </c>
      <c r="I81" s="2">
        <v>0</v>
      </c>
      <c r="J81" s="2">
        <v>0</v>
      </c>
      <c r="K81" s="2">
        <v>0</v>
      </c>
      <c r="L81" s="2">
        <v>0</v>
      </c>
      <c r="M81" s="2">
        <v>1</v>
      </c>
      <c r="N81" s="3">
        <v>3</v>
      </c>
      <c r="O81" s="3">
        <v>2</v>
      </c>
      <c r="P81" s="3">
        <v>1</v>
      </c>
      <c r="Q81" s="3"/>
      <c r="R81" s="3"/>
      <c r="S81" s="3"/>
      <c r="T81" s="3"/>
      <c r="U81" s="3"/>
      <c r="V81" s="3"/>
    </row>
    <row r="82" spans="1:22" x14ac:dyDescent="0.35">
      <c r="A82" s="1">
        <f t="shared" si="1"/>
        <v>44440</v>
      </c>
      <c r="B82" s="2">
        <v>0</v>
      </c>
      <c r="C82" s="2">
        <v>0</v>
      </c>
      <c r="D82" s="2">
        <v>1</v>
      </c>
      <c r="E82" s="2">
        <v>0</v>
      </c>
      <c r="F82" s="2">
        <v>0</v>
      </c>
      <c r="G82" s="2">
        <v>1</v>
      </c>
      <c r="H82" s="2">
        <v>1</v>
      </c>
      <c r="I82" s="2">
        <v>2</v>
      </c>
      <c r="J82" s="2">
        <v>1</v>
      </c>
      <c r="K82" s="2">
        <v>1</v>
      </c>
      <c r="L82" s="2">
        <v>2</v>
      </c>
      <c r="M82" s="2">
        <v>0</v>
      </c>
      <c r="N82" s="3">
        <v>2</v>
      </c>
      <c r="O82" s="3">
        <v>1</v>
      </c>
      <c r="P82" s="3">
        <v>2</v>
      </c>
      <c r="Q82" s="3"/>
      <c r="R82" s="3"/>
      <c r="S82" s="3"/>
      <c r="T82" s="3"/>
      <c r="U82" s="3"/>
      <c r="V82" s="3"/>
    </row>
    <row r="83" spans="1:22" x14ac:dyDescent="0.35">
      <c r="A83" s="1">
        <f t="shared" si="1"/>
        <v>44470</v>
      </c>
      <c r="B83" s="2">
        <v>2</v>
      </c>
      <c r="C83" s="2">
        <v>0</v>
      </c>
      <c r="D83" s="2">
        <v>1</v>
      </c>
      <c r="E83" s="2">
        <v>0</v>
      </c>
      <c r="F83" s="2">
        <v>2</v>
      </c>
      <c r="G83" s="2">
        <v>1</v>
      </c>
      <c r="H83" s="2">
        <v>0</v>
      </c>
      <c r="I83" s="2">
        <v>2</v>
      </c>
      <c r="J83" s="2">
        <v>1</v>
      </c>
      <c r="K83" s="2">
        <v>0</v>
      </c>
      <c r="L83" s="2">
        <v>0</v>
      </c>
      <c r="M83" s="2">
        <v>0</v>
      </c>
      <c r="N83" s="3">
        <v>3</v>
      </c>
      <c r="O83" s="3">
        <v>1</v>
      </c>
      <c r="P83" s="3">
        <v>1</v>
      </c>
      <c r="Q83" s="3"/>
      <c r="R83" s="3"/>
      <c r="S83" s="3"/>
      <c r="T83" s="3"/>
      <c r="U83" s="3"/>
      <c r="V83" s="3"/>
    </row>
    <row r="84" spans="1:22" x14ac:dyDescent="0.35">
      <c r="A84" s="1">
        <f t="shared" si="1"/>
        <v>44501</v>
      </c>
      <c r="B84" s="2">
        <v>0</v>
      </c>
      <c r="C84" s="2">
        <v>1</v>
      </c>
      <c r="D84" s="2">
        <v>0</v>
      </c>
      <c r="E84" s="2">
        <v>0</v>
      </c>
      <c r="F84" s="2">
        <v>1</v>
      </c>
      <c r="G84" s="2">
        <v>1</v>
      </c>
      <c r="H84" s="2">
        <v>1</v>
      </c>
      <c r="I84" s="2">
        <v>1</v>
      </c>
      <c r="J84" s="2">
        <v>1</v>
      </c>
      <c r="K84" s="2">
        <v>0</v>
      </c>
      <c r="L84" s="2">
        <v>1</v>
      </c>
      <c r="M84" s="2">
        <v>0</v>
      </c>
      <c r="N84" s="3">
        <v>2</v>
      </c>
      <c r="O84" s="3">
        <v>2</v>
      </c>
      <c r="P84" s="3">
        <v>3</v>
      </c>
      <c r="Q84" s="3"/>
      <c r="R84" s="3"/>
      <c r="S84" s="3"/>
      <c r="T84" s="3"/>
      <c r="U84" s="3"/>
      <c r="V84" s="3"/>
    </row>
    <row r="85" spans="1:22" x14ac:dyDescent="0.35">
      <c r="A85" s="1">
        <f t="shared" si="1"/>
        <v>44531</v>
      </c>
      <c r="B85" s="2">
        <v>1</v>
      </c>
      <c r="C85" s="2">
        <v>1</v>
      </c>
      <c r="D85" s="2">
        <v>0</v>
      </c>
      <c r="E85" s="2">
        <v>2</v>
      </c>
      <c r="F85" s="2">
        <v>0</v>
      </c>
      <c r="G85" s="2">
        <v>0</v>
      </c>
      <c r="H85" s="2">
        <v>0</v>
      </c>
      <c r="I85" s="2">
        <v>0</v>
      </c>
      <c r="J85" s="2">
        <v>0</v>
      </c>
      <c r="K85" s="2">
        <v>1</v>
      </c>
      <c r="L85" s="2">
        <v>1</v>
      </c>
      <c r="M85" s="2">
        <v>0</v>
      </c>
      <c r="N85" s="3">
        <v>3</v>
      </c>
      <c r="O85" s="3">
        <v>1</v>
      </c>
      <c r="P85" s="3">
        <v>1</v>
      </c>
      <c r="Q85" s="3"/>
      <c r="R85" s="3"/>
      <c r="S85" s="3"/>
      <c r="T85" s="3"/>
      <c r="U85" s="3"/>
      <c r="V85" s="3"/>
    </row>
    <row r="86" spans="1:22" x14ac:dyDescent="0.35">
      <c r="A86" s="4">
        <f t="shared" si="1"/>
        <v>44562</v>
      </c>
      <c r="B86" s="5">
        <v>1</v>
      </c>
      <c r="C86" s="5">
        <v>0</v>
      </c>
      <c r="D86" s="5">
        <v>0</v>
      </c>
      <c r="E86" s="5">
        <v>0</v>
      </c>
      <c r="F86" s="5">
        <v>0</v>
      </c>
      <c r="G86" s="5">
        <v>1</v>
      </c>
      <c r="H86" s="5">
        <v>1</v>
      </c>
      <c r="I86" s="5">
        <v>1</v>
      </c>
      <c r="J86" s="5">
        <v>0</v>
      </c>
      <c r="K86" s="5">
        <v>1</v>
      </c>
      <c r="L86" s="5">
        <v>0</v>
      </c>
      <c r="M86" s="5">
        <v>0</v>
      </c>
      <c r="N86" s="5">
        <v>3</v>
      </c>
      <c r="O86" s="5">
        <v>0</v>
      </c>
      <c r="P86" s="5"/>
      <c r="Q86" s="5"/>
      <c r="R86" s="5"/>
      <c r="S86" s="5"/>
      <c r="T86" s="5"/>
      <c r="U86" s="5"/>
      <c r="V86" s="5"/>
    </row>
    <row r="87" spans="1:22" x14ac:dyDescent="0.35">
      <c r="A87" s="1">
        <f t="shared" si="1"/>
        <v>44593</v>
      </c>
      <c r="B87" s="2">
        <v>0</v>
      </c>
      <c r="C87" s="2">
        <v>1</v>
      </c>
      <c r="D87" s="2">
        <v>2</v>
      </c>
      <c r="E87" s="2">
        <v>0</v>
      </c>
      <c r="F87" s="2">
        <v>0</v>
      </c>
      <c r="G87" s="2">
        <v>0</v>
      </c>
      <c r="H87" s="2">
        <v>3</v>
      </c>
      <c r="I87" s="2">
        <v>0</v>
      </c>
      <c r="J87" s="2">
        <v>0</v>
      </c>
      <c r="K87" s="2">
        <v>0</v>
      </c>
      <c r="L87" s="2">
        <v>1</v>
      </c>
      <c r="M87" s="2">
        <v>0</v>
      </c>
      <c r="N87" s="3">
        <v>4</v>
      </c>
      <c r="O87" s="3">
        <v>1</v>
      </c>
      <c r="P87" s="3"/>
      <c r="Q87" s="3"/>
      <c r="R87" s="3"/>
      <c r="S87" s="3"/>
      <c r="T87" s="3"/>
      <c r="U87" s="3"/>
      <c r="V87" s="3"/>
    </row>
    <row r="88" spans="1:22" x14ac:dyDescent="0.35">
      <c r="A88" s="1">
        <f t="shared" si="1"/>
        <v>44621</v>
      </c>
      <c r="B88" s="2">
        <v>2</v>
      </c>
      <c r="C88" s="2">
        <v>0</v>
      </c>
      <c r="D88" s="2">
        <v>0</v>
      </c>
      <c r="E88" s="2">
        <v>0</v>
      </c>
      <c r="F88" s="2">
        <v>1</v>
      </c>
      <c r="G88" s="2">
        <v>0</v>
      </c>
      <c r="H88" s="2">
        <v>1</v>
      </c>
      <c r="I88" s="2">
        <v>0</v>
      </c>
      <c r="J88" s="2">
        <v>0</v>
      </c>
      <c r="K88" s="2">
        <v>0</v>
      </c>
      <c r="L88" s="2">
        <v>0</v>
      </c>
      <c r="M88" s="2">
        <v>2</v>
      </c>
      <c r="N88" s="3">
        <v>5</v>
      </c>
      <c r="O88" s="3">
        <v>1</v>
      </c>
      <c r="P88" s="3"/>
      <c r="Q88" s="3"/>
      <c r="R88" s="3"/>
      <c r="S88" s="3"/>
      <c r="T88" s="3"/>
      <c r="U88" s="3"/>
      <c r="V88" s="3"/>
    </row>
    <row r="89" spans="1:22" x14ac:dyDescent="0.35">
      <c r="A89" s="1">
        <f t="shared" si="1"/>
        <v>44652</v>
      </c>
      <c r="B89" s="2">
        <v>2</v>
      </c>
      <c r="C89" s="2">
        <v>2</v>
      </c>
      <c r="D89" s="2">
        <v>0</v>
      </c>
      <c r="E89" s="2">
        <v>1</v>
      </c>
      <c r="F89" s="2">
        <v>2</v>
      </c>
      <c r="G89" s="2">
        <v>0</v>
      </c>
      <c r="H89" s="2">
        <v>0</v>
      </c>
      <c r="I89" s="2">
        <v>0</v>
      </c>
      <c r="J89" s="2">
        <v>0</v>
      </c>
      <c r="K89" s="2">
        <v>2</v>
      </c>
      <c r="L89" s="2">
        <v>0</v>
      </c>
      <c r="M89" s="2">
        <v>0</v>
      </c>
      <c r="N89" s="3">
        <v>5</v>
      </c>
      <c r="O89" s="3">
        <v>4</v>
      </c>
      <c r="P89" s="3"/>
      <c r="Q89" s="3"/>
      <c r="R89" s="3"/>
      <c r="S89" s="3"/>
      <c r="T89" s="3"/>
      <c r="U89" s="3"/>
      <c r="V89" s="3"/>
    </row>
    <row r="90" spans="1:22" x14ac:dyDescent="0.35">
      <c r="A90" s="1">
        <f t="shared" si="1"/>
        <v>44682</v>
      </c>
      <c r="B90" s="2">
        <v>0</v>
      </c>
      <c r="C90" s="2">
        <v>1</v>
      </c>
      <c r="D90" s="2">
        <v>2</v>
      </c>
      <c r="E90" s="2">
        <v>0</v>
      </c>
      <c r="F90" s="2">
        <v>0</v>
      </c>
      <c r="G90" s="2">
        <v>0</v>
      </c>
      <c r="H90" s="2">
        <v>0</v>
      </c>
      <c r="I90" s="2">
        <v>1</v>
      </c>
      <c r="J90" s="2">
        <v>0</v>
      </c>
      <c r="K90" s="2">
        <v>2</v>
      </c>
      <c r="L90" s="2">
        <v>0</v>
      </c>
      <c r="M90" s="2">
        <v>0</v>
      </c>
      <c r="N90" s="3">
        <v>2</v>
      </c>
      <c r="O90" s="3">
        <v>2</v>
      </c>
      <c r="P90" s="3"/>
      <c r="Q90" s="3"/>
      <c r="R90" s="3"/>
      <c r="S90" s="3"/>
      <c r="T90" s="3"/>
      <c r="U90" s="3"/>
      <c r="V90" s="3"/>
    </row>
    <row r="91" spans="1:22" x14ac:dyDescent="0.35">
      <c r="A91" s="1">
        <f t="shared" si="1"/>
        <v>44713</v>
      </c>
      <c r="B91" s="2">
        <v>1</v>
      </c>
      <c r="C91" s="2">
        <v>0</v>
      </c>
      <c r="D91" s="2">
        <v>0</v>
      </c>
      <c r="E91" s="2">
        <v>3</v>
      </c>
      <c r="F91" s="2">
        <v>0</v>
      </c>
      <c r="G91" s="2">
        <v>0</v>
      </c>
      <c r="H91" s="2">
        <v>1</v>
      </c>
      <c r="I91" s="2">
        <v>1</v>
      </c>
      <c r="J91" s="2">
        <v>0</v>
      </c>
      <c r="K91" s="2">
        <v>0</v>
      </c>
      <c r="L91" s="2">
        <v>0</v>
      </c>
      <c r="M91" s="2">
        <v>0</v>
      </c>
      <c r="N91" s="3">
        <v>5</v>
      </c>
      <c r="O91" s="3">
        <v>2</v>
      </c>
      <c r="P91" s="3"/>
      <c r="Q91" s="3"/>
      <c r="R91" s="3"/>
      <c r="S91" s="3"/>
      <c r="T91" s="3"/>
      <c r="U91" s="3"/>
      <c r="V91" s="3"/>
    </row>
    <row r="92" spans="1:22" x14ac:dyDescent="0.35">
      <c r="A92" s="1">
        <f t="shared" si="1"/>
        <v>44743</v>
      </c>
      <c r="B92" s="2">
        <v>0</v>
      </c>
      <c r="C92" s="2">
        <v>1</v>
      </c>
      <c r="D92" s="2">
        <v>1</v>
      </c>
      <c r="E92" s="2">
        <v>1</v>
      </c>
      <c r="F92" s="2">
        <v>0</v>
      </c>
      <c r="G92" s="2">
        <v>1</v>
      </c>
      <c r="H92" s="2">
        <v>1</v>
      </c>
      <c r="I92" s="2">
        <v>0</v>
      </c>
      <c r="J92" s="2">
        <v>0</v>
      </c>
      <c r="K92" s="2">
        <v>0</v>
      </c>
      <c r="L92" s="2">
        <v>0</v>
      </c>
      <c r="M92" s="2">
        <v>0</v>
      </c>
      <c r="N92" s="3">
        <v>8</v>
      </c>
      <c r="O92" s="3">
        <v>3</v>
      </c>
      <c r="P92" s="3"/>
      <c r="Q92" s="3"/>
      <c r="R92" s="3"/>
      <c r="S92" s="3"/>
      <c r="T92" s="3"/>
      <c r="U92" s="3"/>
      <c r="V92" s="3"/>
    </row>
    <row r="93" spans="1:22" x14ac:dyDescent="0.35">
      <c r="A93" s="1">
        <f t="shared" si="1"/>
        <v>44774</v>
      </c>
      <c r="B93" s="2">
        <v>1</v>
      </c>
      <c r="C93" s="2">
        <v>2</v>
      </c>
      <c r="D93" s="2">
        <v>2</v>
      </c>
      <c r="E93" s="2">
        <v>1</v>
      </c>
      <c r="F93" s="2">
        <v>1</v>
      </c>
      <c r="G93" s="2">
        <v>1</v>
      </c>
      <c r="H93" s="2">
        <v>0</v>
      </c>
      <c r="I93" s="2">
        <v>0</v>
      </c>
      <c r="J93" s="2">
        <v>0</v>
      </c>
      <c r="K93" s="2">
        <v>0</v>
      </c>
      <c r="L93" s="2">
        <v>0</v>
      </c>
      <c r="M93" s="2">
        <v>0</v>
      </c>
      <c r="N93" s="3">
        <v>3</v>
      </c>
      <c r="O93" s="3">
        <v>2</v>
      </c>
      <c r="P93" s="3"/>
      <c r="Q93" s="3"/>
      <c r="R93" s="3"/>
      <c r="S93" s="3"/>
      <c r="T93" s="3"/>
      <c r="U93" s="3"/>
      <c r="V93" s="3"/>
    </row>
    <row r="94" spans="1:22" x14ac:dyDescent="0.35">
      <c r="A94" s="1">
        <f t="shared" si="1"/>
        <v>44805</v>
      </c>
      <c r="B94" s="2">
        <v>0</v>
      </c>
      <c r="C94" s="2">
        <v>0</v>
      </c>
      <c r="D94" s="2">
        <v>2</v>
      </c>
      <c r="E94" s="2">
        <v>1</v>
      </c>
      <c r="F94" s="2">
        <v>0</v>
      </c>
      <c r="G94" s="2">
        <v>1</v>
      </c>
      <c r="H94" s="2">
        <v>0</v>
      </c>
      <c r="I94" s="2">
        <v>0</v>
      </c>
      <c r="J94" s="2">
        <v>0</v>
      </c>
      <c r="K94" s="2">
        <v>1</v>
      </c>
      <c r="L94" s="2">
        <v>0</v>
      </c>
      <c r="M94" s="2">
        <v>0</v>
      </c>
      <c r="N94" s="3">
        <v>1</v>
      </c>
      <c r="O94" s="3">
        <v>3</v>
      </c>
      <c r="P94" s="3"/>
      <c r="Q94" s="3"/>
      <c r="R94" s="3"/>
      <c r="S94" s="3"/>
      <c r="T94" s="3"/>
      <c r="U94" s="3"/>
      <c r="V94" s="3"/>
    </row>
    <row r="95" spans="1:22" x14ac:dyDescent="0.35">
      <c r="A95" s="1">
        <f t="shared" si="1"/>
        <v>44835</v>
      </c>
      <c r="B95" s="2">
        <v>0</v>
      </c>
      <c r="C95" s="2">
        <v>1</v>
      </c>
      <c r="D95" s="2">
        <v>0</v>
      </c>
      <c r="E95" s="2">
        <v>1</v>
      </c>
      <c r="F95" s="2">
        <v>0</v>
      </c>
      <c r="G95" s="2">
        <v>1</v>
      </c>
      <c r="H95" s="2">
        <v>0</v>
      </c>
      <c r="I95" s="2">
        <v>0</v>
      </c>
      <c r="J95" s="2">
        <v>0</v>
      </c>
      <c r="K95" s="2">
        <v>1</v>
      </c>
      <c r="L95" s="2">
        <v>0</v>
      </c>
      <c r="M95" s="2">
        <v>1</v>
      </c>
      <c r="N95" s="3">
        <v>6</v>
      </c>
      <c r="O95" s="3">
        <v>1</v>
      </c>
      <c r="P95" s="3"/>
      <c r="Q95" s="3"/>
      <c r="R95" s="3"/>
      <c r="S95" s="3"/>
      <c r="T95" s="3"/>
      <c r="U95" s="3"/>
      <c r="V95" s="3"/>
    </row>
    <row r="96" spans="1:22" x14ac:dyDescent="0.35">
      <c r="A96" s="1">
        <f t="shared" si="1"/>
        <v>44866</v>
      </c>
      <c r="B96" s="2">
        <v>1</v>
      </c>
      <c r="C96" s="2">
        <v>0</v>
      </c>
      <c r="D96" s="2">
        <v>0</v>
      </c>
      <c r="E96" s="2">
        <v>0</v>
      </c>
      <c r="F96" s="2">
        <v>0</v>
      </c>
      <c r="G96" s="2">
        <v>0</v>
      </c>
      <c r="H96" s="2">
        <v>0</v>
      </c>
      <c r="I96" s="2">
        <v>0</v>
      </c>
      <c r="J96" s="2">
        <v>0</v>
      </c>
      <c r="K96" s="2">
        <v>0</v>
      </c>
      <c r="L96" s="2">
        <v>0</v>
      </c>
      <c r="M96" s="2">
        <v>1</v>
      </c>
      <c r="N96" s="3">
        <v>4</v>
      </c>
      <c r="O96" s="3">
        <v>1</v>
      </c>
      <c r="P96" s="3"/>
      <c r="Q96" s="3"/>
      <c r="R96" s="3"/>
      <c r="S96" s="3"/>
      <c r="T96" s="3"/>
      <c r="U96" s="3"/>
      <c r="V96" s="3"/>
    </row>
    <row r="97" spans="1:22" x14ac:dyDescent="0.35">
      <c r="A97" s="1">
        <f t="shared" si="1"/>
        <v>44896</v>
      </c>
      <c r="B97" s="2">
        <v>1</v>
      </c>
      <c r="C97" s="2">
        <v>0</v>
      </c>
      <c r="D97" s="2">
        <v>2</v>
      </c>
      <c r="E97" s="2">
        <v>0</v>
      </c>
      <c r="F97" s="2">
        <v>0</v>
      </c>
      <c r="G97" s="2">
        <v>0</v>
      </c>
      <c r="H97" s="2">
        <v>0</v>
      </c>
      <c r="I97" s="2">
        <v>0</v>
      </c>
      <c r="J97" s="2">
        <v>1</v>
      </c>
      <c r="K97" s="2">
        <v>0</v>
      </c>
      <c r="L97" s="2">
        <v>1</v>
      </c>
      <c r="M97" s="2">
        <v>0</v>
      </c>
      <c r="N97" s="3">
        <v>2</v>
      </c>
      <c r="O97" s="3">
        <v>2</v>
      </c>
      <c r="P97" s="3"/>
      <c r="Q97" s="3"/>
      <c r="R97" s="3"/>
      <c r="S97" s="3"/>
      <c r="T97" s="3"/>
      <c r="U97" s="3"/>
      <c r="V97" s="3"/>
    </row>
    <row r="98" spans="1:22" x14ac:dyDescent="0.35">
      <c r="A98" s="4">
        <f t="shared" si="1"/>
        <v>44927</v>
      </c>
      <c r="B98" s="5">
        <v>0</v>
      </c>
      <c r="C98" s="5">
        <v>0</v>
      </c>
      <c r="D98" s="5">
        <v>0</v>
      </c>
      <c r="E98" s="5">
        <v>0</v>
      </c>
      <c r="F98" s="5">
        <v>0</v>
      </c>
      <c r="G98" s="5">
        <v>0</v>
      </c>
      <c r="H98" s="5">
        <v>0</v>
      </c>
      <c r="I98" s="5">
        <v>0</v>
      </c>
      <c r="J98" s="5">
        <v>0</v>
      </c>
      <c r="K98" s="5">
        <v>0</v>
      </c>
      <c r="L98" s="5">
        <v>0</v>
      </c>
      <c r="M98" s="5">
        <v>1</v>
      </c>
      <c r="N98" s="5">
        <v>3</v>
      </c>
      <c r="O98" s="5"/>
      <c r="P98" s="5"/>
      <c r="Q98" s="5"/>
      <c r="R98" s="5"/>
      <c r="S98" s="5"/>
      <c r="T98" s="5"/>
      <c r="U98" s="5"/>
      <c r="V98" s="5"/>
    </row>
    <row r="99" spans="1:22" x14ac:dyDescent="0.35">
      <c r="A99" s="1">
        <f t="shared" si="1"/>
        <v>44958</v>
      </c>
      <c r="B99" s="2">
        <v>1</v>
      </c>
      <c r="C99" s="2">
        <v>0</v>
      </c>
      <c r="D99" s="2">
        <v>0</v>
      </c>
      <c r="E99" s="2">
        <v>0</v>
      </c>
      <c r="F99" s="2">
        <v>2</v>
      </c>
      <c r="G99" s="2">
        <v>0</v>
      </c>
      <c r="H99" s="2">
        <v>2</v>
      </c>
      <c r="I99" s="2">
        <v>0</v>
      </c>
      <c r="J99" s="2">
        <v>0</v>
      </c>
      <c r="K99" s="2">
        <v>0</v>
      </c>
      <c r="L99" s="2">
        <v>1</v>
      </c>
      <c r="M99" s="2">
        <v>0</v>
      </c>
      <c r="N99" s="3">
        <v>3</v>
      </c>
      <c r="O99" s="3"/>
      <c r="P99" s="3"/>
      <c r="Q99" s="3"/>
      <c r="R99" s="3"/>
      <c r="S99" s="3"/>
      <c r="T99" s="3"/>
      <c r="U99" s="3"/>
      <c r="V99" s="3"/>
    </row>
    <row r="100" spans="1:22" x14ac:dyDescent="0.35">
      <c r="A100" s="1">
        <f t="shared" si="1"/>
        <v>44986</v>
      </c>
      <c r="B100" s="2">
        <v>3</v>
      </c>
      <c r="C100" s="2">
        <v>1</v>
      </c>
      <c r="D100" s="2">
        <v>0</v>
      </c>
      <c r="E100" s="2">
        <v>0</v>
      </c>
      <c r="F100" s="2">
        <v>0</v>
      </c>
      <c r="G100" s="2">
        <v>1</v>
      </c>
      <c r="H100" s="2">
        <v>1</v>
      </c>
      <c r="I100" s="2">
        <v>1</v>
      </c>
      <c r="J100" s="2">
        <v>0</v>
      </c>
      <c r="K100" s="2">
        <v>0</v>
      </c>
      <c r="L100" s="2">
        <v>0</v>
      </c>
      <c r="M100" s="2">
        <v>2</v>
      </c>
      <c r="N100" s="3">
        <v>3</v>
      </c>
      <c r="O100" s="3"/>
      <c r="P100" s="3"/>
      <c r="Q100" s="3"/>
      <c r="R100" s="3"/>
      <c r="S100" s="3"/>
      <c r="T100" s="3"/>
      <c r="U100" s="3"/>
      <c r="V100" s="3"/>
    </row>
    <row r="101" spans="1:22" x14ac:dyDescent="0.35">
      <c r="A101" s="1">
        <f t="shared" si="1"/>
        <v>45017</v>
      </c>
      <c r="B101" s="2">
        <v>1</v>
      </c>
      <c r="C101" s="2">
        <v>0</v>
      </c>
      <c r="D101" s="2">
        <v>1</v>
      </c>
      <c r="E101" s="2">
        <v>1</v>
      </c>
      <c r="F101" s="2">
        <v>0</v>
      </c>
      <c r="G101" s="2">
        <v>1</v>
      </c>
      <c r="H101" s="2">
        <v>1</v>
      </c>
      <c r="I101" s="2">
        <v>0</v>
      </c>
      <c r="J101" s="2">
        <v>2</v>
      </c>
      <c r="K101" s="2">
        <v>0</v>
      </c>
      <c r="L101" s="2">
        <v>0</v>
      </c>
      <c r="M101" s="2">
        <v>1</v>
      </c>
      <c r="N101" s="3">
        <v>5</v>
      </c>
      <c r="O101" s="3"/>
      <c r="P101" s="3"/>
      <c r="Q101" s="3"/>
      <c r="R101" s="3"/>
      <c r="S101" s="3"/>
      <c r="T101" s="3"/>
      <c r="U101" s="3"/>
      <c r="V101" s="3"/>
    </row>
    <row r="102" spans="1:22" x14ac:dyDescent="0.35">
      <c r="A102" s="1">
        <f t="shared" si="1"/>
        <v>45047</v>
      </c>
      <c r="B102" s="2">
        <v>1</v>
      </c>
      <c r="C102" s="2">
        <v>0</v>
      </c>
      <c r="D102" s="2">
        <v>0</v>
      </c>
      <c r="E102" s="2">
        <v>1</v>
      </c>
      <c r="F102" s="2">
        <v>1</v>
      </c>
      <c r="G102" s="2">
        <v>2</v>
      </c>
      <c r="H102" s="2">
        <v>0</v>
      </c>
      <c r="I102" s="2">
        <v>0</v>
      </c>
      <c r="J102" s="2">
        <v>0</v>
      </c>
      <c r="K102" s="2">
        <v>0</v>
      </c>
      <c r="L102" s="2">
        <v>0</v>
      </c>
      <c r="M102" s="2">
        <v>0</v>
      </c>
      <c r="N102" s="3">
        <v>5</v>
      </c>
      <c r="O102" s="3"/>
      <c r="P102" s="3"/>
      <c r="Q102" s="3"/>
      <c r="R102" s="3"/>
      <c r="S102" s="3"/>
      <c r="T102" s="3"/>
      <c r="U102" s="3"/>
      <c r="V102" s="3"/>
    </row>
    <row r="103" spans="1:22" x14ac:dyDescent="0.35">
      <c r="A103" s="1">
        <f t="shared" si="1"/>
        <v>45078</v>
      </c>
      <c r="B103" s="2">
        <v>0</v>
      </c>
      <c r="C103" s="2">
        <v>1</v>
      </c>
      <c r="D103" s="2">
        <v>4</v>
      </c>
      <c r="E103" s="2">
        <v>0</v>
      </c>
      <c r="F103" s="2">
        <v>1</v>
      </c>
      <c r="G103" s="2">
        <v>3</v>
      </c>
      <c r="H103" s="2">
        <v>0</v>
      </c>
      <c r="I103" s="2">
        <v>2</v>
      </c>
      <c r="J103" s="2">
        <v>0</v>
      </c>
      <c r="K103" s="2">
        <v>1</v>
      </c>
      <c r="L103" s="2">
        <v>1</v>
      </c>
      <c r="M103" s="2">
        <v>1</v>
      </c>
      <c r="N103" s="3">
        <v>3</v>
      </c>
      <c r="O103" s="3"/>
      <c r="P103" s="3"/>
      <c r="Q103" s="3"/>
      <c r="R103" s="3"/>
      <c r="S103" s="3"/>
      <c r="T103" s="3"/>
      <c r="U103" s="3"/>
      <c r="V103" s="3"/>
    </row>
    <row r="104" spans="1:22" x14ac:dyDescent="0.35">
      <c r="A104" s="1">
        <f t="shared" si="1"/>
        <v>45108</v>
      </c>
      <c r="B104" s="2">
        <v>1</v>
      </c>
      <c r="C104" s="2">
        <v>0</v>
      </c>
      <c r="D104" s="2">
        <v>0</v>
      </c>
      <c r="E104" s="2">
        <v>0</v>
      </c>
      <c r="F104" s="2">
        <v>0</v>
      </c>
      <c r="G104" s="2">
        <v>1</v>
      </c>
      <c r="H104" s="2">
        <v>0</v>
      </c>
      <c r="I104" s="2">
        <v>1</v>
      </c>
      <c r="J104" s="2">
        <v>0</v>
      </c>
      <c r="K104" s="2">
        <v>0</v>
      </c>
      <c r="L104" s="2">
        <v>0</v>
      </c>
      <c r="M104" s="2">
        <v>0</v>
      </c>
      <c r="N104" s="3">
        <v>0</v>
      </c>
      <c r="O104" s="3"/>
      <c r="P104" s="3"/>
      <c r="Q104" s="3"/>
      <c r="R104" s="3"/>
      <c r="S104" s="3"/>
      <c r="T104" s="3"/>
      <c r="U104" s="3"/>
      <c r="V104" s="3"/>
    </row>
    <row r="105" spans="1:22" x14ac:dyDescent="0.35">
      <c r="A105" s="1">
        <f t="shared" si="1"/>
        <v>45139</v>
      </c>
      <c r="B105" s="2">
        <v>0</v>
      </c>
      <c r="C105" s="2">
        <v>1</v>
      </c>
      <c r="D105" s="2">
        <v>0</v>
      </c>
      <c r="E105" s="2">
        <v>1</v>
      </c>
      <c r="F105" s="2">
        <v>0</v>
      </c>
      <c r="G105" s="2">
        <v>0</v>
      </c>
      <c r="H105" s="2">
        <v>1</v>
      </c>
      <c r="I105" s="2">
        <v>0</v>
      </c>
      <c r="J105" s="2">
        <v>0</v>
      </c>
      <c r="K105" s="2">
        <v>0</v>
      </c>
      <c r="L105" s="2">
        <v>0</v>
      </c>
      <c r="M105" s="2">
        <v>0</v>
      </c>
      <c r="N105" s="3">
        <v>3</v>
      </c>
      <c r="O105" s="3"/>
      <c r="P105" s="3"/>
      <c r="Q105" s="3"/>
      <c r="R105" s="3"/>
      <c r="S105" s="3"/>
      <c r="T105" s="3"/>
      <c r="U105" s="3"/>
      <c r="V105" s="3"/>
    </row>
    <row r="106" spans="1:22" x14ac:dyDescent="0.35">
      <c r="A106" s="1">
        <f t="shared" si="1"/>
        <v>45170</v>
      </c>
      <c r="B106" s="2">
        <v>0</v>
      </c>
      <c r="C106" s="2">
        <v>0</v>
      </c>
      <c r="D106" s="2">
        <v>2</v>
      </c>
      <c r="E106" s="2">
        <v>0</v>
      </c>
      <c r="F106" s="2">
        <v>1</v>
      </c>
      <c r="G106" s="2">
        <v>1</v>
      </c>
      <c r="H106" s="2">
        <v>2</v>
      </c>
      <c r="I106" s="2">
        <v>0</v>
      </c>
      <c r="J106" s="2">
        <v>0</v>
      </c>
      <c r="K106" s="2">
        <v>0</v>
      </c>
      <c r="L106" s="2">
        <v>1</v>
      </c>
      <c r="M106" s="2">
        <v>0</v>
      </c>
      <c r="N106" s="3">
        <v>0</v>
      </c>
      <c r="O106" s="3"/>
      <c r="P106" s="3"/>
      <c r="Q106" s="3"/>
      <c r="R106" s="3"/>
      <c r="S106" s="3"/>
      <c r="T106" s="3"/>
      <c r="U106" s="3"/>
      <c r="V106" s="3"/>
    </row>
    <row r="107" spans="1:22" x14ac:dyDescent="0.35">
      <c r="A107" s="1">
        <f t="shared" si="1"/>
        <v>45200</v>
      </c>
      <c r="B107" s="2">
        <v>1</v>
      </c>
      <c r="C107" s="2">
        <v>1</v>
      </c>
      <c r="D107" s="2">
        <v>0</v>
      </c>
      <c r="E107" s="2">
        <v>2</v>
      </c>
      <c r="F107" s="2">
        <v>0</v>
      </c>
      <c r="G107" s="2">
        <v>1</v>
      </c>
      <c r="H107" s="2">
        <v>0</v>
      </c>
      <c r="I107" s="2">
        <v>0</v>
      </c>
      <c r="J107" s="2">
        <v>0</v>
      </c>
      <c r="K107" s="2">
        <v>0</v>
      </c>
      <c r="L107" s="2">
        <v>0</v>
      </c>
      <c r="M107" s="2">
        <v>0</v>
      </c>
      <c r="N107" s="3">
        <v>3</v>
      </c>
      <c r="O107" s="3"/>
      <c r="P107" s="3"/>
      <c r="Q107" s="3"/>
      <c r="R107" s="3"/>
      <c r="S107" s="3"/>
      <c r="T107" s="3"/>
      <c r="U107" s="3"/>
      <c r="V107" s="3"/>
    </row>
    <row r="108" spans="1:22" x14ac:dyDescent="0.35">
      <c r="A108" s="1">
        <f t="shared" si="1"/>
        <v>45231</v>
      </c>
      <c r="B108" s="2">
        <v>0</v>
      </c>
      <c r="C108" s="2">
        <v>0</v>
      </c>
      <c r="D108" s="2">
        <v>0</v>
      </c>
      <c r="E108" s="2">
        <v>0</v>
      </c>
      <c r="F108" s="2">
        <v>1</v>
      </c>
      <c r="G108" s="2">
        <v>0</v>
      </c>
      <c r="H108" s="2">
        <v>0</v>
      </c>
      <c r="I108" s="2">
        <v>0</v>
      </c>
      <c r="J108" s="2">
        <v>0</v>
      </c>
      <c r="K108" s="2">
        <v>0</v>
      </c>
      <c r="L108" s="2">
        <v>0</v>
      </c>
      <c r="M108" s="2">
        <v>0</v>
      </c>
      <c r="N108" s="3">
        <v>2</v>
      </c>
      <c r="O108" s="3"/>
      <c r="P108" s="3"/>
      <c r="Q108" s="3"/>
      <c r="R108" s="3"/>
      <c r="S108" s="3"/>
      <c r="T108" s="3"/>
      <c r="U108" s="3"/>
      <c r="V108" s="3"/>
    </row>
    <row r="109" spans="1:22" x14ac:dyDescent="0.35">
      <c r="A109" s="1">
        <f t="shared" si="1"/>
        <v>45261</v>
      </c>
      <c r="B109" s="2">
        <v>0</v>
      </c>
      <c r="C109" s="2">
        <v>0</v>
      </c>
      <c r="D109" s="2">
        <v>0</v>
      </c>
      <c r="E109" s="2">
        <v>1</v>
      </c>
      <c r="F109" s="2">
        <v>0</v>
      </c>
      <c r="G109" s="2">
        <v>0</v>
      </c>
      <c r="H109" s="2">
        <v>0</v>
      </c>
      <c r="I109" s="2">
        <v>0</v>
      </c>
      <c r="J109" s="2">
        <v>2</v>
      </c>
      <c r="K109" s="2">
        <v>0</v>
      </c>
      <c r="L109" s="2">
        <v>0</v>
      </c>
      <c r="M109" s="2">
        <v>0</v>
      </c>
      <c r="N109" s="3">
        <v>2</v>
      </c>
      <c r="O109" s="3" t="s">
        <v>201</v>
      </c>
      <c r="P109" s="3"/>
      <c r="Q109" s="3"/>
      <c r="R109" s="3"/>
      <c r="S109" s="3"/>
      <c r="T109" s="3"/>
      <c r="U109" s="3"/>
      <c r="V109" s="3"/>
    </row>
    <row r="110" spans="1:22" x14ac:dyDescent="0.35">
      <c r="A110" s="4">
        <f t="shared" si="1"/>
        <v>45292</v>
      </c>
      <c r="B110" s="5">
        <v>0</v>
      </c>
      <c r="C110" s="5">
        <v>0</v>
      </c>
      <c r="D110" s="5">
        <v>2</v>
      </c>
      <c r="E110" s="5">
        <v>0</v>
      </c>
      <c r="F110" s="5">
        <v>1</v>
      </c>
      <c r="G110" s="5">
        <v>1</v>
      </c>
      <c r="H110" s="5">
        <v>0</v>
      </c>
      <c r="I110" s="5">
        <v>1</v>
      </c>
      <c r="J110" s="5">
        <v>0</v>
      </c>
      <c r="K110" s="5">
        <v>0</v>
      </c>
      <c r="L110" s="5">
        <v>0</v>
      </c>
      <c r="M110" s="5">
        <v>1</v>
      </c>
      <c r="N110" s="5" t="s">
        <v>201</v>
      </c>
      <c r="O110" s="5" t="s">
        <v>201</v>
      </c>
      <c r="P110" s="5" t="s">
        <v>201</v>
      </c>
      <c r="Q110" s="5"/>
      <c r="R110" s="5"/>
      <c r="S110" s="5"/>
      <c r="T110" s="5"/>
      <c r="U110" s="5"/>
      <c r="V110" s="5"/>
    </row>
    <row r="111" spans="1:22" ht="16.5" customHeight="1" x14ac:dyDescent="0.35">
      <c r="A111" s="1">
        <f t="shared" si="1"/>
        <v>45323</v>
      </c>
      <c r="B111" s="2">
        <v>0</v>
      </c>
      <c r="C111" s="2">
        <v>0</v>
      </c>
      <c r="D111" s="2">
        <v>2</v>
      </c>
      <c r="E111" s="2">
        <v>0</v>
      </c>
      <c r="F111" s="2">
        <v>0</v>
      </c>
      <c r="G111" s="2">
        <v>1</v>
      </c>
      <c r="H111" s="2">
        <v>0</v>
      </c>
      <c r="I111" s="2">
        <v>0</v>
      </c>
      <c r="J111" s="2">
        <v>0</v>
      </c>
      <c r="K111" s="2">
        <v>0</v>
      </c>
      <c r="L111" s="2">
        <v>0</v>
      </c>
      <c r="M111" s="2" t="s">
        <v>201</v>
      </c>
      <c r="N111" s="3" t="s">
        <v>201</v>
      </c>
      <c r="O111" s="3" t="s">
        <v>201</v>
      </c>
      <c r="P111" s="3" t="s">
        <v>201</v>
      </c>
      <c r="Q111" s="3"/>
      <c r="R111" s="3"/>
      <c r="S111" s="3"/>
      <c r="T111" s="3"/>
      <c r="U111" s="3"/>
      <c r="V111" s="3"/>
    </row>
    <row r="112" spans="1:22" x14ac:dyDescent="0.35">
      <c r="A112" s="1">
        <f t="shared" si="1"/>
        <v>45352</v>
      </c>
      <c r="B112" s="2">
        <v>0</v>
      </c>
      <c r="C112" s="2">
        <v>0</v>
      </c>
      <c r="D112" s="2">
        <v>1</v>
      </c>
      <c r="E112" s="2">
        <v>3</v>
      </c>
      <c r="F112" s="2">
        <v>0</v>
      </c>
      <c r="G112" s="2">
        <v>1</v>
      </c>
      <c r="H112" s="2">
        <v>0</v>
      </c>
      <c r="I112" s="2">
        <v>0</v>
      </c>
      <c r="J112" s="2">
        <v>0</v>
      </c>
      <c r="K112" s="2">
        <v>0</v>
      </c>
      <c r="L112" s="2" t="s">
        <v>201</v>
      </c>
      <c r="M112" s="2" t="s">
        <v>201</v>
      </c>
      <c r="N112" s="3" t="s">
        <v>201</v>
      </c>
      <c r="O112" s="3" t="s">
        <v>201</v>
      </c>
      <c r="P112" s="3" t="s">
        <v>201</v>
      </c>
      <c r="Q112" s="3" t="s">
        <v>201</v>
      </c>
      <c r="R112" s="3"/>
      <c r="S112" s="3"/>
      <c r="T112" s="3"/>
      <c r="U112" s="3"/>
      <c r="V112" s="3"/>
    </row>
    <row r="113" spans="1:22" ht="16.5" customHeight="1" x14ac:dyDescent="0.35">
      <c r="A113" s="1">
        <f t="shared" si="1"/>
        <v>45383</v>
      </c>
      <c r="B113" s="2">
        <v>2</v>
      </c>
      <c r="C113" s="2">
        <v>0</v>
      </c>
      <c r="D113" s="2">
        <v>0</v>
      </c>
      <c r="E113" s="2">
        <v>1</v>
      </c>
      <c r="F113" s="2">
        <v>1</v>
      </c>
      <c r="G113" s="2">
        <v>0</v>
      </c>
      <c r="H113" s="2">
        <v>0</v>
      </c>
      <c r="I113" s="2">
        <v>1</v>
      </c>
      <c r="J113" s="2">
        <v>0</v>
      </c>
      <c r="K113" s="2" t="s">
        <v>201</v>
      </c>
      <c r="L113" s="2" t="s">
        <v>201</v>
      </c>
      <c r="M113" s="2" t="s">
        <v>201</v>
      </c>
      <c r="N113" s="3" t="s">
        <v>201</v>
      </c>
      <c r="O113" s="3" t="s">
        <v>201</v>
      </c>
      <c r="P113" s="3" t="s">
        <v>201</v>
      </c>
      <c r="Q113" s="3" t="s">
        <v>201</v>
      </c>
      <c r="R113" s="3"/>
      <c r="S113" s="3"/>
      <c r="T113" s="3"/>
      <c r="U113" s="3"/>
      <c r="V113" s="3"/>
    </row>
    <row r="114" spans="1:22" x14ac:dyDescent="0.35">
      <c r="A114" s="1">
        <f t="shared" si="1"/>
        <v>45413</v>
      </c>
      <c r="B114" s="2">
        <v>0</v>
      </c>
      <c r="C114" s="2">
        <v>0</v>
      </c>
      <c r="D114" s="2">
        <v>1</v>
      </c>
      <c r="E114" s="2">
        <v>0</v>
      </c>
      <c r="F114" s="2">
        <v>2</v>
      </c>
      <c r="G114" s="2">
        <v>2</v>
      </c>
      <c r="H114" s="2">
        <v>0</v>
      </c>
      <c r="I114" s="2">
        <v>2</v>
      </c>
      <c r="J114" s="2" t="s">
        <v>201</v>
      </c>
      <c r="K114" s="2" t="s">
        <v>201</v>
      </c>
      <c r="L114" s="2" t="s">
        <v>201</v>
      </c>
      <c r="M114" s="2" t="s">
        <v>201</v>
      </c>
      <c r="N114" s="3" t="s">
        <v>201</v>
      </c>
      <c r="O114" s="3" t="s">
        <v>201</v>
      </c>
      <c r="P114" s="3" t="s">
        <v>201</v>
      </c>
      <c r="Q114" s="3" t="s">
        <v>201</v>
      </c>
      <c r="R114" s="3" t="s">
        <v>201</v>
      </c>
      <c r="S114" s="3"/>
      <c r="T114" s="3"/>
      <c r="U114" s="3"/>
      <c r="V114" s="3"/>
    </row>
    <row r="115" spans="1:22" x14ac:dyDescent="0.35">
      <c r="A115" s="1">
        <f t="shared" si="1"/>
        <v>45444</v>
      </c>
      <c r="B115" s="2">
        <v>0</v>
      </c>
      <c r="C115" s="2">
        <v>0</v>
      </c>
      <c r="D115" s="2">
        <v>0</v>
      </c>
      <c r="E115" s="2">
        <v>0</v>
      </c>
      <c r="F115" s="2">
        <v>1</v>
      </c>
      <c r="G115" s="2">
        <v>0</v>
      </c>
      <c r="H115" s="2">
        <v>0</v>
      </c>
      <c r="I115" s="2" t="s">
        <v>201</v>
      </c>
      <c r="J115" s="2" t="s">
        <v>201</v>
      </c>
      <c r="K115" s="2" t="s">
        <v>201</v>
      </c>
      <c r="L115" s="2" t="s">
        <v>201</v>
      </c>
      <c r="M115" s="2" t="s">
        <v>201</v>
      </c>
      <c r="N115" s="3" t="s">
        <v>201</v>
      </c>
      <c r="O115" s="3" t="s">
        <v>201</v>
      </c>
      <c r="P115" s="3" t="s">
        <v>201</v>
      </c>
      <c r="Q115" s="3" t="s">
        <v>201</v>
      </c>
      <c r="R115" s="3" t="s">
        <v>201</v>
      </c>
      <c r="S115" s="3"/>
      <c r="T115" s="3"/>
      <c r="U115" s="3"/>
      <c r="V115" s="3"/>
    </row>
    <row r="116" spans="1:22" x14ac:dyDescent="0.35">
      <c r="A116" s="1">
        <f t="shared" si="1"/>
        <v>45474</v>
      </c>
      <c r="B116" s="2">
        <v>0</v>
      </c>
      <c r="C116" s="2">
        <v>2</v>
      </c>
      <c r="D116" s="2">
        <v>1</v>
      </c>
      <c r="E116" s="2">
        <v>0</v>
      </c>
      <c r="F116" s="2">
        <v>1</v>
      </c>
      <c r="G116" s="2">
        <v>0</v>
      </c>
      <c r="H116" s="2" t="s">
        <v>201</v>
      </c>
      <c r="I116" s="2" t="s">
        <v>201</v>
      </c>
      <c r="J116" s="2" t="s">
        <v>201</v>
      </c>
      <c r="K116" s="2" t="s">
        <v>201</v>
      </c>
      <c r="L116" s="2" t="s">
        <v>201</v>
      </c>
      <c r="M116" s="2" t="s">
        <v>201</v>
      </c>
      <c r="N116" s="3" t="s">
        <v>201</v>
      </c>
      <c r="O116" s="3" t="s">
        <v>201</v>
      </c>
      <c r="P116" s="3" t="s">
        <v>201</v>
      </c>
      <c r="Q116" s="3" t="s">
        <v>201</v>
      </c>
      <c r="R116" s="3" t="s">
        <v>201</v>
      </c>
      <c r="S116" s="3"/>
      <c r="T116" s="3"/>
      <c r="U116" s="3"/>
      <c r="V116" s="3"/>
    </row>
    <row r="117" spans="1:22" x14ac:dyDescent="0.35">
      <c r="A117" s="1">
        <f t="shared" si="1"/>
        <v>45505</v>
      </c>
      <c r="B117" s="2">
        <v>0</v>
      </c>
      <c r="C117" s="2">
        <v>0</v>
      </c>
      <c r="D117" s="2">
        <v>1</v>
      </c>
      <c r="E117" s="2">
        <v>0</v>
      </c>
      <c r="F117" s="2">
        <v>0</v>
      </c>
      <c r="G117" s="2" t="s">
        <v>201</v>
      </c>
      <c r="H117" s="2" t="s">
        <v>201</v>
      </c>
      <c r="I117" s="2" t="s">
        <v>201</v>
      </c>
      <c r="J117" s="2" t="s">
        <v>201</v>
      </c>
      <c r="K117" s="2" t="s">
        <v>201</v>
      </c>
      <c r="L117" s="2" t="s">
        <v>201</v>
      </c>
      <c r="M117" s="2" t="s">
        <v>201</v>
      </c>
      <c r="N117" s="3" t="s">
        <v>201</v>
      </c>
      <c r="O117" s="3" t="s">
        <v>201</v>
      </c>
      <c r="P117" s="3" t="s">
        <v>201</v>
      </c>
      <c r="Q117" s="3" t="s">
        <v>201</v>
      </c>
      <c r="R117" s="3" t="s">
        <v>201</v>
      </c>
      <c r="S117" s="3"/>
      <c r="T117" s="3"/>
      <c r="U117" s="3"/>
      <c r="V117" s="3"/>
    </row>
    <row r="118" spans="1:22" x14ac:dyDescent="0.35">
      <c r="A118" s="1">
        <f t="shared" si="1"/>
        <v>45536</v>
      </c>
      <c r="B118" s="2">
        <v>1</v>
      </c>
      <c r="C118" s="2">
        <v>1</v>
      </c>
      <c r="D118" s="2">
        <v>0</v>
      </c>
      <c r="E118" s="2">
        <v>0</v>
      </c>
      <c r="F118" s="2" t="s">
        <v>201</v>
      </c>
      <c r="G118" s="2" t="s">
        <v>201</v>
      </c>
      <c r="H118" s="2" t="s">
        <v>201</v>
      </c>
      <c r="I118" s="2" t="s">
        <v>201</v>
      </c>
      <c r="J118" s="2" t="s">
        <v>201</v>
      </c>
      <c r="K118" s="2" t="s">
        <v>201</v>
      </c>
      <c r="L118" s="2" t="s">
        <v>201</v>
      </c>
      <c r="M118" s="2" t="s">
        <v>201</v>
      </c>
      <c r="N118" s="3" t="s">
        <v>201</v>
      </c>
      <c r="O118" s="3" t="s">
        <v>201</v>
      </c>
      <c r="P118" s="3" t="s">
        <v>201</v>
      </c>
      <c r="Q118" s="3" t="s">
        <v>201</v>
      </c>
      <c r="R118" s="3" t="s">
        <v>201</v>
      </c>
      <c r="S118" s="3"/>
      <c r="T118" s="3"/>
      <c r="U118" s="3"/>
      <c r="V118" s="3"/>
    </row>
    <row r="119" spans="1:22" x14ac:dyDescent="0.35">
      <c r="A119" s="1">
        <f t="shared" si="1"/>
        <v>45566</v>
      </c>
      <c r="B119" s="2">
        <v>0</v>
      </c>
      <c r="C119" s="2">
        <v>0</v>
      </c>
      <c r="D119" s="2">
        <v>0</v>
      </c>
      <c r="E119" s="2" t="s">
        <v>201</v>
      </c>
      <c r="F119" s="2" t="s">
        <v>201</v>
      </c>
      <c r="G119" s="2" t="s">
        <v>201</v>
      </c>
      <c r="H119" s="2" t="s">
        <v>201</v>
      </c>
      <c r="I119" s="2" t="s">
        <v>201</v>
      </c>
      <c r="J119" s="2" t="s">
        <v>201</v>
      </c>
      <c r="K119" s="2" t="s">
        <v>201</v>
      </c>
      <c r="L119" s="2" t="s">
        <v>201</v>
      </c>
      <c r="M119" s="2" t="s">
        <v>201</v>
      </c>
      <c r="N119" s="3" t="s">
        <v>201</v>
      </c>
      <c r="O119" s="3" t="s">
        <v>201</v>
      </c>
      <c r="P119" s="3" t="s">
        <v>201</v>
      </c>
      <c r="Q119" s="3" t="s">
        <v>201</v>
      </c>
      <c r="R119" s="3" t="s">
        <v>201</v>
      </c>
      <c r="S119" s="3"/>
      <c r="T119" s="3"/>
      <c r="U119" s="3"/>
      <c r="V119" s="3"/>
    </row>
    <row r="120" spans="1:22" x14ac:dyDescent="0.35">
      <c r="A120" s="1">
        <f t="shared" si="1"/>
        <v>45597</v>
      </c>
      <c r="B120" s="2">
        <v>0</v>
      </c>
      <c r="C120" s="2">
        <v>0</v>
      </c>
      <c r="D120" s="2" t="s">
        <v>201</v>
      </c>
      <c r="E120" s="2" t="s">
        <v>201</v>
      </c>
      <c r="F120" s="2" t="s">
        <v>201</v>
      </c>
      <c r="G120" s="2" t="s">
        <v>201</v>
      </c>
      <c r="H120" s="2" t="s">
        <v>201</v>
      </c>
      <c r="I120" s="2" t="s">
        <v>201</v>
      </c>
      <c r="J120" s="2" t="s">
        <v>201</v>
      </c>
      <c r="K120" s="2" t="s">
        <v>201</v>
      </c>
      <c r="L120" s="2" t="s">
        <v>201</v>
      </c>
      <c r="M120" s="2" t="s">
        <v>201</v>
      </c>
      <c r="N120" s="3" t="s">
        <v>201</v>
      </c>
      <c r="O120" s="3" t="s">
        <v>201</v>
      </c>
      <c r="P120" s="3" t="s">
        <v>201</v>
      </c>
      <c r="Q120" s="3" t="s">
        <v>201</v>
      </c>
      <c r="R120" s="3" t="s">
        <v>201</v>
      </c>
      <c r="S120" s="3"/>
      <c r="T120" s="3"/>
      <c r="U120" s="3"/>
      <c r="V120" s="3"/>
    </row>
    <row r="121" spans="1:22" x14ac:dyDescent="0.35">
      <c r="A121" s="1">
        <f t="shared" si="1"/>
        <v>45627</v>
      </c>
      <c r="B121" s="2">
        <v>1</v>
      </c>
      <c r="C121" s="2" t="s">
        <v>201</v>
      </c>
      <c r="D121" s="2" t="s">
        <v>201</v>
      </c>
      <c r="E121" s="2" t="s">
        <v>201</v>
      </c>
      <c r="F121" s="2" t="s">
        <v>201</v>
      </c>
      <c r="G121" s="2" t="s">
        <v>201</v>
      </c>
      <c r="H121" s="2" t="s">
        <v>201</v>
      </c>
      <c r="I121" s="2" t="s">
        <v>201</v>
      </c>
      <c r="J121" s="2" t="s">
        <v>201</v>
      </c>
      <c r="K121" s="2" t="s">
        <v>201</v>
      </c>
      <c r="L121" s="2" t="s">
        <v>201</v>
      </c>
      <c r="M121" s="2" t="s">
        <v>201</v>
      </c>
      <c r="N121" s="3" t="s">
        <v>201</v>
      </c>
      <c r="O121" s="3" t="s">
        <v>201</v>
      </c>
      <c r="P121" s="3" t="s">
        <v>201</v>
      </c>
      <c r="Q121" s="3" t="s">
        <v>201</v>
      </c>
      <c r="R121" s="3" t="s">
        <v>201</v>
      </c>
      <c r="S121" s="3"/>
      <c r="T121" s="3"/>
      <c r="U121" s="3"/>
      <c r="V121"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F89EA-9F3B-4993-B5DF-4B591E5C7187}">
  <sheetPr>
    <tabColor theme="4" tint="-0.499984740745262"/>
  </sheetPr>
  <dimension ref="A1:B121"/>
  <sheetViews>
    <sheetView showGridLines="0" zoomScale="71" workbookViewId="0">
      <selection activeCell="D15" sqref="D15"/>
    </sheetView>
  </sheetViews>
  <sheetFormatPr defaultRowHeight="14.5" x14ac:dyDescent="0.35"/>
  <cols>
    <col min="1" max="1" width="25.54296875" bestFit="1" customWidth="1"/>
    <col min="2" max="2" width="24.7265625" customWidth="1"/>
    <col min="3" max="10" width="24.26953125" bestFit="1" customWidth="1"/>
    <col min="11" max="13" width="25.36328125" bestFit="1" customWidth="1"/>
    <col min="14" max="14" width="24.26953125" customWidth="1"/>
    <col min="15" max="21" width="22.7265625" bestFit="1" customWidth="1"/>
    <col min="22" max="23" width="23.7265625" bestFit="1" customWidth="1"/>
    <col min="24" max="30" width="16.1796875" bestFit="1" customWidth="1"/>
  </cols>
  <sheetData>
    <row r="1" spans="1:2" ht="34" customHeight="1" x14ac:dyDescent="0.35">
      <c r="A1" s="24" t="s">
        <v>0</v>
      </c>
      <c r="B1" s="7" t="s">
        <v>326</v>
      </c>
    </row>
    <row r="2" spans="1:2" x14ac:dyDescent="0.35">
      <c r="A2" s="4">
        <v>42005</v>
      </c>
      <c r="B2" s="5">
        <v>1086</v>
      </c>
    </row>
    <row r="3" spans="1:2" x14ac:dyDescent="0.35">
      <c r="A3" s="1">
        <f>DATE(YEAR(A2),MONTH(A2)+1,DAY(A2))</f>
        <v>42036</v>
      </c>
      <c r="B3" s="2">
        <v>1156</v>
      </c>
    </row>
    <row r="4" spans="1:2" x14ac:dyDescent="0.35">
      <c r="A4" s="1">
        <f t="shared" ref="A4:A67" si="0">DATE(YEAR(A3),MONTH(A3)+1,DAY(A3))</f>
        <v>42064</v>
      </c>
      <c r="B4" s="2">
        <v>1072</v>
      </c>
    </row>
    <row r="5" spans="1:2" x14ac:dyDescent="0.35">
      <c r="A5" s="1">
        <f t="shared" si="0"/>
        <v>42095</v>
      </c>
      <c r="B5" s="2">
        <v>1112</v>
      </c>
    </row>
    <row r="6" spans="1:2" x14ac:dyDescent="0.35">
      <c r="A6" s="1">
        <f t="shared" si="0"/>
        <v>42125</v>
      </c>
      <c r="B6" s="2">
        <v>1031</v>
      </c>
    </row>
    <row r="7" spans="1:2" x14ac:dyDescent="0.35">
      <c r="A7" s="1">
        <f t="shared" si="0"/>
        <v>42156</v>
      </c>
      <c r="B7" s="2">
        <v>895</v>
      </c>
    </row>
    <row r="8" spans="1:2" x14ac:dyDescent="0.35">
      <c r="A8" s="1">
        <f t="shared" si="0"/>
        <v>42186</v>
      </c>
      <c r="B8" s="2">
        <v>803</v>
      </c>
    </row>
    <row r="9" spans="1:2" x14ac:dyDescent="0.35">
      <c r="A9" s="1">
        <f t="shared" si="0"/>
        <v>42217</v>
      </c>
      <c r="B9" s="2">
        <v>768</v>
      </c>
    </row>
    <row r="10" spans="1:2" x14ac:dyDescent="0.35">
      <c r="A10" s="1">
        <f t="shared" si="0"/>
        <v>42248</v>
      </c>
      <c r="B10" s="2">
        <v>783</v>
      </c>
    </row>
    <row r="11" spans="1:2" x14ac:dyDescent="0.35">
      <c r="A11" s="1">
        <f t="shared" si="0"/>
        <v>42278</v>
      </c>
      <c r="B11" s="2">
        <v>1061</v>
      </c>
    </row>
    <row r="12" spans="1:2" x14ac:dyDescent="0.35">
      <c r="A12" s="1">
        <f t="shared" si="0"/>
        <v>42309</v>
      </c>
      <c r="B12" s="2">
        <v>987</v>
      </c>
    </row>
    <row r="13" spans="1:2" x14ac:dyDescent="0.35">
      <c r="A13" s="1">
        <f t="shared" si="0"/>
        <v>42339</v>
      </c>
      <c r="B13" s="2">
        <v>903</v>
      </c>
    </row>
    <row r="14" spans="1:2" x14ac:dyDescent="0.35">
      <c r="A14" s="4">
        <f>DATE(YEAR(A13),MONTH(A13)+1,DAY(A13))</f>
        <v>42370</v>
      </c>
      <c r="B14" s="5">
        <v>932</v>
      </c>
    </row>
    <row r="15" spans="1:2" x14ac:dyDescent="0.35">
      <c r="A15" s="1">
        <f t="shared" si="0"/>
        <v>42401</v>
      </c>
      <c r="B15" s="2">
        <v>1048</v>
      </c>
    </row>
    <row r="16" spans="1:2" x14ac:dyDescent="0.35">
      <c r="A16" s="1">
        <f t="shared" si="0"/>
        <v>42430</v>
      </c>
      <c r="B16" s="2">
        <v>1046</v>
      </c>
    </row>
    <row r="17" spans="1:2" x14ac:dyDescent="0.35">
      <c r="A17" s="1">
        <f t="shared" si="0"/>
        <v>42461</v>
      </c>
      <c r="B17" s="2">
        <v>1116</v>
      </c>
    </row>
    <row r="18" spans="1:2" x14ac:dyDescent="0.35">
      <c r="A18" s="1">
        <f t="shared" si="0"/>
        <v>42491</v>
      </c>
      <c r="B18" s="2">
        <v>827</v>
      </c>
    </row>
    <row r="19" spans="1:2" x14ac:dyDescent="0.35">
      <c r="A19" s="1">
        <f t="shared" si="0"/>
        <v>42522</v>
      </c>
      <c r="B19" s="2">
        <v>737</v>
      </c>
    </row>
    <row r="20" spans="1:2" x14ac:dyDescent="0.35">
      <c r="A20" s="1">
        <f t="shared" si="0"/>
        <v>42552</v>
      </c>
      <c r="B20" s="2">
        <v>840</v>
      </c>
    </row>
    <row r="21" spans="1:2" x14ac:dyDescent="0.35">
      <c r="A21" s="1">
        <f t="shared" si="0"/>
        <v>42583</v>
      </c>
      <c r="B21" s="2">
        <v>564</v>
      </c>
    </row>
    <row r="22" spans="1:2" x14ac:dyDescent="0.35">
      <c r="A22" s="1">
        <f t="shared" si="0"/>
        <v>42614</v>
      </c>
      <c r="B22" s="2">
        <v>392</v>
      </c>
    </row>
    <row r="23" spans="1:2" x14ac:dyDescent="0.35">
      <c r="A23" s="1">
        <f t="shared" si="0"/>
        <v>42644</v>
      </c>
      <c r="B23" s="2">
        <v>609</v>
      </c>
    </row>
    <row r="24" spans="1:2" x14ac:dyDescent="0.35">
      <c r="A24" s="1">
        <f t="shared" si="0"/>
        <v>42675</v>
      </c>
      <c r="B24" s="2">
        <v>549</v>
      </c>
    </row>
    <row r="25" spans="1:2" x14ac:dyDescent="0.35">
      <c r="A25" s="1">
        <f t="shared" si="0"/>
        <v>42705</v>
      </c>
      <c r="B25" s="2">
        <v>575</v>
      </c>
    </row>
    <row r="26" spans="1:2" x14ac:dyDescent="0.35">
      <c r="A26" s="4">
        <f t="shared" si="0"/>
        <v>42736</v>
      </c>
      <c r="B26" s="5">
        <v>655</v>
      </c>
    </row>
    <row r="27" spans="1:2" x14ac:dyDescent="0.35">
      <c r="A27" s="1">
        <f t="shared" si="0"/>
        <v>42767</v>
      </c>
      <c r="B27" s="2">
        <v>676</v>
      </c>
    </row>
    <row r="28" spans="1:2" x14ac:dyDescent="0.35">
      <c r="A28" s="1">
        <f t="shared" si="0"/>
        <v>42795</v>
      </c>
      <c r="B28" s="2">
        <v>646</v>
      </c>
    </row>
    <row r="29" spans="1:2" x14ac:dyDescent="0.35">
      <c r="A29" s="1">
        <f t="shared" si="0"/>
        <v>42826</v>
      </c>
      <c r="B29" s="2">
        <v>899</v>
      </c>
    </row>
    <row r="30" spans="1:2" x14ac:dyDescent="0.35">
      <c r="A30" s="1">
        <f t="shared" si="0"/>
        <v>42856</v>
      </c>
      <c r="B30" s="2">
        <v>945</v>
      </c>
    </row>
    <row r="31" spans="1:2" x14ac:dyDescent="0.35">
      <c r="A31" s="1">
        <f t="shared" si="0"/>
        <v>42887</v>
      </c>
      <c r="B31" s="2">
        <v>1085</v>
      </c>
    </row>
    <row r="32" spans="1:2" x14ac:dyDescent="0.35">
      <c r="A32" s="1">
        <f t="shared" si="0"/>
        <v>42917</v>
      </c>
      <c r="B32" s="2">
        <v>1281</v>
      </c>
    </row>
    <row r="33" spans="1:2" x14ac:dyDescent="0.35">
      <c r="A33" s="1">
        <f t="shared" si="0"/>
        <v>42948</v>
      </c>
      <c r="B33" s="2">
        <v>795</v>
      </c>
    </row>
    <row r="34" spans="1:2" x14ac:dyDescent="0.35">
      <c r="A34" s="1">
        <f t="shared" si="0"/>
        <v>42979</v>
      </c>
      <c r="B34" s="2">
        <v>979</v>
      </c>
    </row>
    <row r="35" spans="1:2" x14ac:dyDescent="0.35">
      <c r="A35" s="1">
        <f t="shared" si="0"/>
        <v>43009</v>
      </c>
      <c r="B35" s="2">
        <v>1622</v>
      </c>
    </row>
    <row r="36" spans="1:2" x14ac:dyDescent="0.35">
      <c r="A36" s="1">
        <f t="shared" si="0"/>
        <v>43040</v>
      </c>
      <c r="B36" s="2">
        <v>1446</v>
      </c>
    </row>
    <row r="37" spans="1:2" x14ac:dyDescent="0.35">
      <c r="A37" s="1">
        <f t="shared" si="0"/>
        <v>43070</v>
      </c>
      <c r="B37" s="2">
        <v>1414</v>
      </c>
    </row>
    <row r="38" spans="1:2" x14ac:dyDescent="0.35">
      <c r="A38" s="4">
        <f t="shared" si="0"/>
        <v>43101</v>
      </c>
      <c r="B38" s="5">
        <v>1475</v>
      </c>
    </row>
    <row r="39" spans="1:2" x14ac:dyDescent="0.35">
      <c r="A39" s="1">
        <f t="shared" si="0"/>
        <v>43132</v>
      </c>
      <c r="B39" s="2">
        <v>1541</v>
      </c>
    </row>
    <row r="40" spans="1:2" x14ac:dyDescent="0.35">
      <c r="A40" s="1">
        <f t="shared" si="0"/>
        <v>43160</v>
      </c>
      <c r="B40" s="2">
        <v>1614</v>
      </c>
    </row>
    <row r="41" spans="1:2" x14ac:dyDescent="0.35">
      <c r="A41" s="1">
        <f t="shared" si="0"/>
        <v>43191</v>
      </c>
      <c r="B41" s="2">
        <v>1635</v>
      </c>
    </row>
    <row r="42" spans="1:2" x14ac:dyDescent="0.35">
      <c r="A42" s="1">
        <f t="shared" si="0"/>
        <v>43221</v>
      </c>
      <c r="B42" s="2">
        <v>1374</v>
      </c>
    </row>
    <row r="43" spans="1:2" x14ac:dyDescent="0.35">
      <c r="A43" s="1">
        <f t="shared" si="0"/>
        <v>43252</v>
      </c>
      <c r="B43" s="2">
        <v>1405</v>
      </c>
    </row>
    <row r="44" spans="1:2" x14ac:dyDescent="0.35">
      <c r="A44" s="1">
        <f t="shared" si="0"/>
        <v>43282</v>
      </c>
      <c r="B44" s="2">
        <v>1334</v>
      </c>
    </row>
    <row r="45" spans="1:2" x14ac:dyDescent="0.35">
      <c r="A45" s="1">
        <f t="shared" si="0"/>
        <v>43313</v>
      </c>
      <c r="B45" s="2">
        <v>1069</v>
      </c>
    </row>
    <row r="46" spans="1:2" x14ac:dyDescent="0.35">
      <c r="A46" s="1">
        <f t="shared" si="0"/>
        <v>43344</v>
      </c>
      <c r="B46" s="2">
        <v>979</v>
      </c>
    </row>
    <row r="47" spans="1:2" x14ac:dyDescent="0.35">
      <c r="A47" s="1">
        <f t="shared" si="0"/>
        <v>43374</v>
      </c>
      <c r="B47" s="2">
        <v>1134</v>
      </c>
    </row>
    <row r="48" spans="1:2" x14ac:dyDescent="0.35">
      <c r="A48" s="1">
        <f t="shared" si="0"/>
        <v>43405</v>
      </c>
      <c r="B48" s="2">
        <v>682</v>
      </c>
    </row>
    <row r="49" spans="1:2" x14ac:dyDescent="0.35">
      <c r="A49" s="1">
        <f t="shared" si="0"/>
        <v>43435</v>
      </c>
      <c r="B49" s="2">
        <v>906</v>
      </c>
    </row>
    <row r="50" spans="1:2" x14ac:dyDescent="0.35">
      <c r="A50" s="4">
        <f t="shared" si="0"/>
        <v>43466</v>
      </c>
      <c r="B50" s="5">
        <v>1179</v>
      </c>
    </row>
    <row r="51" spans="1:2" x14ac:dyDescent="0.35">
      <c r="A51" s="1">
        <f t="shared" si="0"/>
        <v>43497</v>
      </c>
      <c r="B51" s="2">
        <v>1095</v>
      </c>
    </row>
    <row r="52" spans="1:2" x14ac:dyDescent="0.35">
      <c r="A52" s="1">
        <f t="shared" si="0"/>
        <v>43525</v>
      </c>
      <c r="B52" s="2">
        <v>867</v>
      </c>
    </row>
    <row r="53" spans="1:2" x14ac:dyDescent="0.35">
      <c r="A53" s="1">
        <f t="shared" si="0"/>
        <v>43556</v>
      </c>
      <c r="B53" s="2">
        <v>984</v>
      </c>
    </row>
    <row r="54" spans="1:2" x14ac:dyDescent="0.35">
      <c r="A54" s="1">
        <f t="shared" si="0"/>
        <v>43586</v>
      </c>
      <c r="B54" s="2">
        <v>1056</v>
      </c>
    </row>
    <row r="55" spans="1:2" x14ac:dyDescent="0.35">
      <c r="A55" s="1">
        <f t="shared" si="0"/>
        <v>43617</v>
      </c>
      <c r="B55" s="2">
        <v>1087</v>
      </c>
    </row>
    <row r="56" spans="1:2" x14ac:dyDescent="0.35">
      <c r="A56" s="1">
        <f t="shared" si="0"/>
        <v>43647</v>
      </c>
      <c r="B56" s="2">
        <v>1257</v>
      </c>
    </row>
    <row r="57" spans="1:2" x14ac:dyDescent="0.35">
      <c r="A57" s="1">
        <f t="shared" si="0"/>
        <v>43678</v>
      </c>
      <c r="B57" s="2">
        <v>645</v>
      </c>
    </row>
    <row r="58" spans="1:2" x14ac:dyDescent="0.35">
      <c r="A58" s="1">
        <f t="shared" si="0"/>
        <v>43709</v>
      </c>
      <c r="B58" s="2">
        <v>586</v>
      </c>
    </row>
    <row r="59" spans="1:2" x14ac:dyDescent="0.35">
      <c r="A59" s="1">
        <f t="shared" si="0"/>
        <v>43739</v>
      </c>
      <c r="B59" s="2">
        <v>787</v>
      </c>
    </row>
    <row r="60" spans="1:2" x14ac:dyDescent="0.35">
      <c r="A60" s="1">
        <f t="shared" si="0"/>
        <v>43770</v>
      </c>
      <c r="B60" s="2">
        <v>829</v>
      </c>
    </row>
    <row r="61" spans="1:2" x14ac:dyDescent="0.35">
      <c r="A61" s="1">
        <f t="shared" si="0"/>
        <v>43800</v>
      </c>
      <c r="B61" s="2">
        <v>748</v>
      </c>
    </row>
    <row r="62" spans="1:2" x14ac:dyDescent="0.35">
      <c r="A62" s="4">
        <f t="shared" si="0"/>
        <v>43831</v>
      </c>
      <c r="B62" s="5">
        <v>812</v>
      </c>
    </row>
    <row r="63" spans="1:2" x14ac:dyDescent="0.35">
      <c r="A63" s="1">
        <f t="shared" si="0"/>
        <v>43862</v>
      </c>
      <c r="B63" s="2">
        <v>977</v>
      </c>
    </row>
    <row r="64" spans="1:2" x14ac:dyDescent="0.35">
      <c r="A64" s="1">
        <f t="shared" si="0"/>
        <v>43891</v>
      </c>
      <c r="B64" s="2">
        <v>975</v>
      </c>
    </row>
    <row r="65" spans="1:2" x14ac:dyDescent="0.35">
      <c r="A65" s="1">
        <f t="shared" si="0"/>
        <v>43922</v>
      </c>
      <c r="B65" s="2">
        <v>1000</v>
      </c>
    </row>
    <row r="66" spans="1:2" x14ac:dyDescent="0.35">
      <c r="A66" s="1">
        <f t="shared" si="0"/>
        <v>43952</v>
      </c>
      <c r="B66" s="2">
        <v>906</v>
      </c>
    </row>
    <row r="67" spans="1:2" x14ac:dyDescent="0.35">
      <c r="A67" s="1">
        <f t="shared" si="0"/>
        <v>43983</v>
      </c>
      <c r="B67" s="2">
        <v>787</v>
      </c>
    </row>
    <row r="68" spans="1:2" x14ac:dyDescent="0.35">
      <c r="A68" s="1">
        <f t="shared" ref="A68:A121" si="1">DATE(YEAR(A67),MONTH(A67)+1,DAY(A67))</f>
        <v>44013</v>
      </c>
      <c r="B68" s="2">
        <v>756</v>
      </c>
    </row>
    <row r="69" spans="1:2" x14ac:dyDescent="0.35">
      <c r="A69" s="1">
        <f t="shared" si="1"/>
        <v>44044</v>
      </c>
      <c r="B69" s="2">
        <v>368</v>
      </c>
    </row>
    <row r="70" spans="1:2" x14ac:dyDescent="0.35">
      <c r="A70" s="1">
        <f t="shared" si="1"/>
        <v>44075</v>
      </c>
      <c r="B70" s="2">
        <v>421</v>
      </c>
    </row>
    <row r="71" spans="1:2" x14ac:dyDescent="0.35">
      <c r="A71" s="1">
        <f t="shared" si="1"/>
        <v>44105</v>
      </c>
      <c r="B71" s="2">
        <v>641</v>
      </c>
    </row>
    <row r="72" spans="1:2" x14ac:dyDescent="0.35">
      <c r="A72" s="1">
        <f t="shared" si="1"/>
        <v>44136</v>
      </c>
      <c r="B72" s="2">
        <v>396</v>
      </c>
    </row>
    <row r="73" spans="1:2" x14ac:dyDescent="0.35">
      <c r="A73" s="1">
        <f t="shared" si="1"/>
        <v>44166</v>
      </c>
      <c r="B73" s="2">
        <v>170</v>
      </c>
    </row>
    <row r="74" spans="1:2" x14ac:dyDescent="0.35">
      <c r="A74" s="4">
        <f t="shared" si="1"/>
        <v>44197</v>
      </c>
      <c r="B74" s="5">
        <v>166</v>
      </c>
    </row>
    <row r="75" spans="1:2" x14ac:dyDescent="0.35">
      <c r="A75" s="1">
        <f t="shared" si="1"/>
        <v>44228</v>
      </c>
      <c r="B75" s="2">
        <v>250</v>
      </c>
    </row>
    <row r="76" spans="1:2" x14ac:dyDescent="0.35">
      <c r="A76" s="1">
        <f t="shared" si="1"/>
        <v>44256</v>
      </c>
      <c r="B76" s="2">
        <v>259</v>
      </c>
    </row>
    <row r="77" spans="1:2" x14ac:dyDescent="0.35">
      <c r="A77" s="1">
        <f t="shared" si="1"/>
        <v>44287</v>
      </c>
      <c r="B77" s="2">
        <v>187</v>
      </c>
    </row>
    <row r="78" spans="1:2" x14ac:dyDescent="0.35">
      <c r="A78" s="1">
        <f t="shared" si="1"/>
        <v>44317</v>
      </c>
      <c r="B78" s="2">
        <v>268</v>
      </c>
    </row>
    <row r="79" spans="1:2" x14ac:dyDescent="0.35">
      <c r="A79" s="1">
        <f t="shared" si="1"/>
        <v>44348</v>
      </c>
      <c r="B79" s="2">
        <v>275</v>
      </c>
    </row>
    <row r="80" spans="1:2" x14ac:dyDescent="0.35">
      <c r="A80" s="1">
        <f t="shared" si="1"/>
        <v>44378</v>
      </c>
      <c r="B80" s="2">
        <v>209</v>
      </c>
    </row>
    <row r="81" spans="1:2" x14ac:dyDescent="0.35">
      <c r="A81" s="1">
        <f t="shared" si="1"/>
        <v>44409</v>
      </c>
      <c r="B81" s="2">
        <v>117</v>
      </c>
    </row>
    <row r="82" spans="1:2" x14ac:dyDescent="0.35">
      <c r="A82" s="1">
        <f t="shared" si="1"/>
        <v>44440</v>
      </c>
      <c r="B82" s="2">
        <v>161</v>
      </c>
    </row>
    <row r="83" spans="1:2" x14ac:dyDescent="0.35">
      <c r="A83" s="1">
        <f t="shared" si="1"/>
        <v>44470</v>
      </c>
      <c r="B83" s="2">
        <v>173</v>
      </c>
    </row>
    <row r="84" spans="1:2" x14ac:dyDescent="0.35">
      <c r="A84" s="1">
        <f t="shared" si="1"/>
        <v>44501</v>
      </c>
      <c r="B84" s="2">
        <v>107</v>
      </c>
    </row>
    <row r="85" spans="1:2" x14ac:dyDescent="0.35">
      <c r="A85" s="1">
        <f t="shared" si="1"/>
        <v>44531</v>
      </c>
      <c r="B85" s="2">
        <v>150</v>
      </c>
    </row>
    <row r="86" spans="1:2" x14ac:dyDescent="0.35">
      <c r="A86" s="4">
        <f t="shared" si="1"/>
        <v>44562</v>
      </c>
      <c r="B86" s="5">
        <v>180</v>
      </c>
    </row>
    <row r="87" spans="1:2" x14ac:dyDescent="0.35">
      <c r="A87" s="1">
        <f t="shared" si="1"/>
        <v>44593</v>
      </c>
      <c r="B87" s="2">
        <v>215</v>
      </c>
    </row>
    <row r="88" spans="1:2" x14ac:dyDescent="0.35">
      <c r="A88" s="1">
        <f t="shared" si="1"/>
        <v>44621</v>
      </c>
      <c r="B88" s="2">
        <v>225</v>
      </c>
    </row>
    <row r="89" spans="1:2" x14ac:dyDescent="0.35">
      <c r="A89" s="1">
        <f t="shared" si="1"/>
        <v>44652</v>
      </c>
      <c r="B89" s="2">
        <v>258</v>
      </c>
    </row>
    <row r="90" spans="1:2" x14ac:dyDescent="0.35">
      <c r="A90" s="1">
        <f t="shared" si="1"/>
        <v>44682</v>
      </c>
      <c r="B90" s="2">
        <v>226</v>
      </c>
    </row>
    <row r="91" spans="1:2" x14ac:dyDescent="0.35">
      <c r="A91" s="1">
        <f t="shared" si="1"/>
        <v>44713</v>
      </c>
      <c r="B91" s="2">
        <v>272</v>
      </c>
    </row>
    <row r="92" spans="1:2" x14ac:dyDescent="0.35">
      <c r="A92" s="1">
        <f t="shared" si="1"/>
        <v>44743</v>
      </c>
      <c r="B92" s="2">
        <v>310</v>
      </c>
    </row>
    <row r="93" spans="1:2" x14ac:dyDescent="0.35">
      <c r="A93" s="1">
        <f t="shared" si="1"/>
        <v>44774</v>
      </c>
      <c r="B93" s="2">
        <v>212</v>
      </c>
    </row>
    <row r="94" spans="1:2" x14ac:dyDescent="0.35">
      <c r="A94" s="1">
        <f t="shared" si="1"/>
        <v>44805</v>
      </c>
      <c r="B94" s="2">
        <v>151</v>
      </c>
    </row>
    <row r="95" spans="1:2" x14ac:dyDescent="0.35">
      <c r="A95" s="1">
        <f t="shared" si="1"/>
        <v>44835</v>
      </c>
      <c r="B95" s="2">
        <v>218</v>
      </c>
    </row>
    <row r="96" spans="1:2" x14ac:dyDescent="0.35">
      <c r="A96" s="1">
        <f t="shared" si="1"/>
        <v>44866</v>
      </c>
      <c r="B96" s="2">
        <v>208</v>
      </c>
    </row>
    <row r="97" spans="1:2" x14ac:dyDescent="0.35">
      <c r="A97" s="1">
        <f t="shared" si="1"/>
        <v>44896</v>
      </c>
      <c r="B97" s="2">
        <v>292</v>
      </c>
    </row>
    <row r="98" spans="1:2" x14ac:dyDescent="0.35">
      <c r="A98" s="4">
        <f t="shared" si="1"/>
        <v>44927</v>
      </c>
      <c r="B98" s="5">
        <v>273</v>
      </c>
    </row>
    <row r="99" spans="1:2" x14ac:dyDescent="0.35">
      <c r="A99" s="1">
        <f t="shared" si="1"/>
        <v>44958</v>
      </c>
      <c r="B99" s="2">
        <v>296</v>
      </c>
    </row>
    <row r="100" spans="1:2" x14ac:dyDescent="0.35">
      <c r="A100" s="1">
        <f t="shared" si="1"/>
        <v>44986</v>
      </c>
      <c r="B100" s="2">
        <v>317</v>
      </c>
    </row>
    <row r="101" spans="1:2" x14ac:dyDescent="0.35">
      <c r="A101" s="1">
        <f t="shared" si="1"/>
        <v>45017</v>
      </c>
      <c r="B101" s="2">
        <v>369</v>
      </c>
    </row>
    <row r="102" spans="1:2" x14ac:dyDescent="0.35">
      <c r="A102" s="1">
        <f t="shared" si="1"/>
        <v>45047</v>
      </c>
      <c r="B102" s="2">
        <v>379</v>
      </c>
    </row>
    <row r="103" spans="1:2" x14ac:dyDescent="0.35">
      <c r="A103" s="1">
        <f t="shared" si="1"/>
        <v>45078</v>
      </c>
      <c r="B103" s="2">
        <v>266</v>
      </c>
    </row>
    <row r="104" spans="1:2" x14ac:dyDescent="0.35">
      <c r="A104" s="1">
        <f t="shared" si="1"/>
        <v>45108</v>
      </c>
      <c r="B104" s="2">
        <v>256</v>
      </c>
    </row>
    <row r="105" spans="1:2" x14ac:dyDescent="0.35">
      <c r="A105" s="1">
        <f t="shared" si="1"/>
        <v>45139</v>
      </c>
      <c r="B105" s="2">
        <v>262</v>
      </c>
    </row>
    <row r="106" spans="1:2" x14ac:dyDescent="0.35">
      <c r="A106" s="1">
        <f t="shared" si="1"/>
        <v>45170</v>
      </c>
      <c r="B106" s="2">
        <v>238</v>
      </c>
    </row>
    <row r="107" spans="1:2" x14ac:dyDescent="0.35">
      <c r="A107" s="1">
        <f t="shared" si="1"/>
        <v>45200</v>
      </c>
      <c r="B107" s="2">
        <v>215</v>
      </c>
    </row>
    <row r="108" spans="1:2" x14ac:dyDescent="0.35">
      <c r="A108" s="1">
        <f t="shared" si="1"/>
        <v>45231</v>
      </c>
      <c r="B108" s="2">
        <v>227</v>
      </c>
    </row>
    <row r="109" spans="1:2" x14ac:dyDescent="0.35">
      <c r="A109" s="1">
        <f t="shared" si="1"/>
        <v>45261</v>
      </c>
      <c r="B109" s="2">
        <v>275</v>
      </c>
    </row>
    <row r="110" spans="1:2" x14ac:dyDescent="0.35">
      <c r="A110" s="4">
        <f t="shared" si="1"/>
        <v>45292</v>
      </c>
      <c r="B110" s="5">
        <v>283</v>
      </c>
    </row>
    <row r="111" spans="1:2" x14ac:dyDescent="0.35">
      <c r="A111" s="1">
        <f t="shared" si="1"/>
        <v>45323</v>
      </c>
      <c r="B111" s="2">
        <v>192</v>
      </c>
    </row>
    <row r="112" spans="1:2" x14ac:dyDescent="0.35">
      <c r="A112" s="1">
        <f t="shared" si="1"/>
        <v>45352</v>
      </c>
      <c r="B112" s="2">
        <v>167</v>
      </c>
    </row>
    <row r="113" spans="1:2" x14ac:dyDescent="0.35">
      <c r="A113" s="1">
        <f t="shared" si="1"/>
        <v>45383</v>
      </c>
      <c r="B113" s="2">
        <v>204</v>
      </c>
    </row>
    <row r="114" spans="1:2" x14ac:dyDescent="0.35">
      <c r="A114" s="1">
        <f t="shared" si="1"/>
        <v>45413</v>
      </c>
      <c r="B114" s="2">
        <v>176</v>
      </c>
    </row>
    <row r="115" spans="1:2" x14ac:dyDescent="0.35">
      <c r="A115" s="1">
        <f t="shared" si="1"/>
        <v>45444</v>
      </c>
      <c r="B115" s="2">
        <v>155</v>
      </c>
    </row>
    <row r="116" spans="1:2" x14ac:dyDescent="0.35">
      <c r="A116" s="1">
        <f t="shared" si="1"/>
        <v>45474</v>
      </c>
      <c r="B116" s="2">
        <v>168</v>
      </c>
    </row>
    <row r="117" spans="1:2" x14ac:dyDescent="0.35">
      <c r="A117" s="1">
        <f t="shared" si="1"/>
        <v>45505</v>
      </c>
      <c r="B117" s="2">
        <v>94</v>
      </c>
    </row>
    <row r="118" spans="1:2" x14ac:dyDescent="0.35">
      <c r="A118" s="1">
        <f t="shared" si="1"/>
        <v>45536</v>
      </c>
      <c r="B118" s="2">
        <v>72</v>
      </c>
    </row>
    <row r="119" spans="1:2" x14ac:dyDescent="0.35">
      <c r="A119" s="1">
        <f t="shared" si="1"/>
        <v>45566</v>
      </c>
      <c r="B119" s="2">
        <v>157</v>
      </c>
    </row>
    <row r="120" spans="1:2" x14ac:dyDescent="0.35">
      <c r="A120" s="1">
        <f t="shared" si="1"/>
        <v>45597</v>
      </c>
      <c r="B120" s="2">
        <v>129</v>
      </c>
    </row>
    <row r="121" spans="1:2" x14ac:dyDescent="0.35">
      <c r="A121" s="1">
        <f t="shared" si="1"/>
        <v>45627</v>
      </c>
      <c r="B121" s="2">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0436D-1301-4EDD-9B8B-4760EE72DD16}">
  <sheetPr>
    <tabColor theme="4" tint="-0.499984740745262"/>
  </sheetPr>
  <dimension ref="A1:W121"/>
  <sheetViews>
    <sheetView showGridLines="0" zoomScale="58" zoomScaleNormal="55" workbookViewId="0">
      <selection activeCell="B2" sqref="B2"/>
    </sheetView>
  </sheetViews>
  <sheetFormatPr defaultRowHeight="14.5" x14ac:dyDescent="0.35"/>
  <cols>
    <col min="1" max="1" width="25.54296875" bestFit="1" customWidth="1"/>
    <col min="2" max="2" width="24.7265625" customWidth="1"/>
    <col min="3" max="10" width="24.26953125" bestFit="1" customWidth="1"/>
    <col min="11" max="13" width="25.36328125" bestFit="1" customWidth="1"/>
    <col min="14" max="14" width="24.26953125" customWidth="1"/>
    <col min="15" max="21" width="22.7265625" bestFit="1" customWidth="1"/>
    <col min="22" max="23" width="23.7265625" bestFit="1" customWidth="1"/>
    <col min="24" max="30" width="16.1796875" bestFit="1" customWidth="1"/>
  </cols>
  <sheetData>
    <row r="1" spans="1:23" ht="34" customHeight="1" x14ac:dyDescent="0.35">
      <c r="A1" s="24" t="s">
        <v>0</v>
      </c>
      <c r="B1" s="7" t="s">
        <v>158</v>
      </c>
      <c r="C1" s="7" t="s">
        <v>159</v>
      </c>
      <c r="D1" s="7" t="s">
        <v>160</v>
      </c>
      <c r="E1" s="7" t="s">
        <v>161</v>
      </c>
      <c r="F1" s="7" t="s">
        <v>162</v>
      </c>
      <c r="G1" s="7" t="s">
        <v>163</v>
      </c>
      <c r="H1" s="7" t="s">
        <v>164</v>
      </c>
      <c r="I1" s="7" t="s">
        <v>165</v>
      </c>
      <c r="J1" s="7" t="s">
        <v>166</v>
      </c>
      <c r="K1" s="7" t="s">
        <v>167</v>
      </c>
      <c r="L1" s="7" t="s">
        <v>168</v>
      </c>
      <c r="M1" s="7" t="s">
        <v>169</v>
      </c>
      <c r="N1" s="7" t="s">
        <v>170</v>
      </c>
      <c r="O1" s="7" t="s">
        <v>171</v>
      </c>
      <c r="P1" s="7" t="s">
        <v>172</v>
      </c>
      <c r="Q1" s="7" t="s">
        <v>173</v>
      </c>
      <c r="R1" s="7" t="s">
        <v>174</v>
      </c>
      <c r="S1" s="7" t="s">
        <v>175</v>
      </c>
      <c r="T1" s="7" t="s">
        <v>176</v>
      </c>
      <c r="U1" s="7" t="s">
        <v>177</v>
      </c>
      <c r="V1" s="7" t="s">
        <v>178</v>
      </c>
      <c r="W1" s="7" t="s">
        <v>179</v>
      </c>
    </row>
    <row r="2" spans="1:23" x14ac:dyDescent="0.35">
      <c r="A2" s="4">
        <v>42005</v>
      </c>
      <c r="B2" s="5">
        <f>Inception_data!B2</f>
        <v>1086</v>
      </c>
      <c r="C2" s="5">
        <f>B2-SUM(Lapse_data!B2,Death_data!B2)</f>
        <v>1027</v>
      </c>
      <c r="D2" s="5">
        <f>C2-SUM(Lapse_data!C2,Death_data!C2)</f>
        <v>929</v>
      </c>
      <c r="E2" s="5">
        <f>D2-SUM(Lapse_data!D2,Death_data!D2)</f>
        <v>873</v>
      </c>
      <c r="F2" s="5">
        <f>E2-SUM(Lapse_data!E2,Death_data!E2)</f>
        <v>794</v>
      </c>
      <c r="G2" s="5">
        <f>F2-SUM(Lapse_data!F2,Death_data!F2)</f>
        <v>736</v>
      </c>
      <c r="H2" s="5">
        <f>G2-SUM(Lapse_data!G2,Death_data!G2)</f>
        <v>702</v>
      </c>
      <c r="I2" s="5">
        <f>H2-SUM(Lapse_data!H2,Death_data!H2)</f>
        <v>660</v>
      </c>
      <c r="J2" s="5">
        <f>I2-SUM(Lapse_data!I2,Death_data!I2)</f>
        <v>628</v>
      </c>
      <c r="K2" s="5">
        <f>J2-SUM(Lapse_data!J2,Death_data!J2)</f>
        <v>598</v>
      </c>
      <c r="L2" s="5">
        <f>K2-SUM(Lapse_data!K2,Death_data!K2)</f>
        <v>568</v>
      </c>
      <c r="M2" s="5">
        <f>L2-SUM(Lapse_data!L2,Death_data!L2)</f>
        <v>545</v>
      </c>
      <c r="N2" s="5">
        <f>M2-SUM(Lapse_data!M2,Death_data!M2)</f>
        <v>529</v>
      </c>
      <c r="O2" s="5">
        <f xml:space="preserve"> N2 - SUM(Lapse_data!N2:Y2, Death_data!N2)</f>
        <v>376</v>
      </c>
      <c r="P2" s="5">
        <f xml:space="preserve"> O2 - SUM(Lapse_data!Z2:AK2, Death_data!O2)</f>
        <v>301</v>
      </c>
      <c r="Q2" s="5">
        <f xml:space="preserve"> P2 - SUM(Lapse_data!AL2:AW2, Death_data!P2)</f>
        <v>227</v>
      </c>
      <c r="R2" s="5">
        <f xml:space="preserve"> Q2 - SUM(Lapse_data!AX2:BI2, Death_data!Q2)</f>
        <v>183</v>
      </c>
      <c r="S2" s="5">
        <f xml:space="preserve"> R2 - SUM(Lapse_data!BJ2:BU2, Death_data!R2)</f>
        <v>155</v>
      </c>
      <c r="T2" s="5">
        <f xml:space="preserve"> S2 - SUM(Lapse_data!BV2:CG2, Death_data!S2)</f>
        <v>128</v>
      </c>
      <c r="U2" s="5">
        <f xml:space="preserve"> T2 - SUM(Lapse_data!CH2:CS2, Death_data!T2)</f>
        <v>110</v>
      </c>
      <c r="V2" s="5">
        <f xml:space="preserve"> U2 - SUM(Lapse_data!CT2:DE2, Death_data!U2)</f>
        <v>103</v>
      </c>
      <c r="W2" s="5">
        <f xml:space="preserve"> V2 - SUM(Lapse_data!DF2:DQ2, Death_data!V2)</f>
        <v>94</v>
      </c>
    </row>
    <row r="3" spans="1:23" x14ac:dyDescent="0.35">
      <c r="A3" s="1">
        <f>DATE(YEAR(A2),MONTH(A2)+1,DAY(A2))</f>
        <v>42036</v>
      </c>
      <c r="B3" s="5">
        <f>Inception_data!B3</f>
        <v>1156</v>
      </c>
      <c r="C3" s="5">
        <f>B3-SUM(Lapse_data!B3,Death_data!B3)</f>
        <v>1102</v>
      </c>
      <c r="D3" s="5">
        <f>C3-SUM(Lapse_data!C3,Death_data!C3)</f>
        <v>997</v>
      </c>
      <c r="E3" s="5">
        <f>D3-SUM(Lapse_data!D3,Death_data!D3)</f>
        <v>924</v>
      </c>
      <c r="F3" s="5">
        <f>E3-SUM(Lapse_data!E3,Death_data!E3)</f>
        <v>853</v>
      </c>
      <c r="G3" s="5">
        <f>F3-SUM(Lapse_data!F3,Death_data!F3)</f>
        <v>804</v>
      </c>
      <c r="H3" s="5">
        <f>G3-SUM(Lapse_data!G3,Death_data!G3)</f>
        <v>753</v>
      </c>
      <c r="I3" s="5">
        <f>H3-SUM(Lapse_data!H3,Death_data!H3)</f>
        <v>705</v>
      </c>
      <c r="J3" s="5">
        <f>I3-SUM(Lapse_data!I3,Death_data!I3)</f>
        <v>670</v>
      </c>
      <c r="K3" s="5">
        <f>J3-SUM(Lapse_data!J3,Death_data!J3)</f>
        <v>639</v>
      </c>
      <c r="L3" s="5">
        <f>K3-SUM(Lapse_data!K3,Death_data!K3)</f>
        <v>612</v>
      </c>
      <c r="M3" s="5">
        <f>L3-SUM(Lapse_data!L3,Death_data!L3)</f>
        <v>597</v>
      </c>
      <c r="N3" s="5">
        <f>M3-SUM(Lapse_data!M3,Death_data!M3)</f>
        <v>574</v>
      </c>
      <c r="O3" s="5">
        <f xml:space="preserve"> N3 - SUM(Lapse_data!N3:Y3, Death_data!N3)</f>
        <v>385</v>
      </c>
      <c r="P3" s="5">
        <f xml:space="preserve"> O3 - SUM(Lapse_data!Z3:AK3, Death_data!O3)</f>
        <v>278</v>
      </c>
      <c r="Q3" s="5">
        <f xml:space="preserve"> P3 - SUM(Lapse_data!AL3:AW3, Death_data!P3)</f>
        <v>219</v>
      </c>
      <c r="R3" s="5">
        <f xml:space="preserve"> Q3 - SUM(Lapse_data!AX3:BI3, Death_data!Q3)</f>
        <v>173</v>
      </c>
      <c r="S3" s="5">
        <f xml:space="preserve"> R3 - SUM(Lapse_data!BJ3:BU3, Death_data!R3)</f>
        <v>144</v>
      </c>
      <c r="T3" s="5">
        <f xml:space="preserve"> S3 - SUM(Lapse_data!BV3:CG3, Death_data!S3)</f>
        <v>131</v>
      </c>
      <c r="U3" s="5">
        <f xml:space="preserve"> T3 - SUM(Lapse_data!CH3:CS3, Death_data!T3)</f>
        <v>113</v>
      </c>
      <c r="V3" s="5">
        <f xml:space="preserve"> U3 - SUM(Lapse_data!CT3:DE3, Death_data!U3)</f>
        <v>102</v>
      </c>
      <c r="W3" s="5">
        <f xml:space="preserve"> V3 - SUM(Lapse_data!DF3:DQ3, Death_data!V3)</f>
        <v>90</v>
      </c>
    </row>
    <row r="4" spans="1:23" x14ac:dyDescent="0.35">
      <c r="A4" s="1">
        <f t="shared" ref="A4:A67" si="0">DATE(YEAR(A3),MONTH(A3)+1,DAY(A3))</f>
        <v>42064</v>
      </c>
      <c r="B4" s="5">
        <f>Inception_data!B4</f>
        <v>1072</v>
      </c>
      <c r="C4" s="5">
        <f>B4-SUM(Lapse_data!B4,Death_data!B4)</f>
        <v>1024</v>
      </c>
      <c r="D4" s="5">
        <f>C4-SUM(Lapse_data!C4,Death_data!C4)</f>
        <v>930</v>
      </c>
      <c r="E4" s="5">
        <f>D4-SUM(Lapse_data!D4,Death_data!D4)</f>
        <v>870</v>
      </c>
      <c r="F4" s="5">
        <f>E4-SUM(Lapse_data!E4,Death_data!E4)</f>
        <v>809</v>
      </c>
      <c r="G4" s="5">
        <f>F4-SUM(Lapse_data!F4,Death_data!F4)</f>
        <v>766</v>
      </c>
      <c r="H4" s="5">
        <f>G4-SUM(Lapse_data!G4,Death_data!G4)</f>
        <v>726</v>
      </c>
      <c r="I4" s="5">
        <f>H4-SUM(Lapse_data!H4,Death_data!H4)</f>
        <v>691</v>
      </c>
      <c r="J4" s="5">
        <f>I4-SUM(Lapse_data!I4,Death_data!I4)</f>
        <v>656</v>
      </c>
      <c r="K4" s="5">
        <f>J4-SUM(Lapse_data!J4,Death_data!J4)</f>
        <v>633</v>
      </c>
      <c r="L4" s="5">
        <f>K4-SUM(Lapse_data!K4,Death_data!K4)</f>
        <v>610</v>
      </c>
      <c r="M4" s="5">
        <f>L4-SUM(Lapse_data!L4,Death_data!L4)</f>
        <v>594</v>
      </c>
      <c r="N4" s="5">
        <f>M4-SUM(Lapse_data!M4,Death_data!M4)</f>
        <v>574</v>
      </c>
      <c r="O4" s="5">
        <f xml:space="preserve"> N4 - SUM(Lapse_data!N4:Y4, Death_data!N4)</f>
        <v>375</v>
      </c>
      <c r="P4" s="5">
        <f xml:space="preserve"> O4 - SUM(Lapse_data!Z4:AK4, Death_data!O4)</f>
        <v>277</v>
      </c>
      <c r="Q4" s="5">
        <f xml:space="preserve"> P4 - SUM(Lapse_data!AL4:AW4, Death_data!P4)</f>
        <v>211</v>
      </c>
      <c r="R4" s="5">
        <f xml:space="preserve"> Q4 - SUM(Lapse_data!AX4:BI4, Death_data!Q4)</f>
        <v>174</v>
      </c>
      <c r="S4" s="5">
        <f xml:space="preserve"> R4 - SUM(Lapse_data!BJ4:BU4, Death_data!R4)</f>
        <v>140</v>
      </c>
      <c r="T4" s="5">
        <f xml:space="preserve"> S4 - SUM(Lapse_data!BV4:CG4, Death_data!S4)</f>
        <v>125</v>
      </c>
      <c r="U4" s="5">
        <f xml:space="preserve"> T4 - SUM(Lapse_data!CH4:CS4, Death_data!T4)</f>
        <v>114</v>
      </c>
      <c r="V4" s="5">
        <f xml:space="preserve"> U4 - SUM(Lapse_data!CT4:DE4, Death_data!U4)</f>
        <v>102</v>
      </c>
      <c r="W4" s="5">
        <f xml:space="preserve"> V4 - SUM(Lapse_data!DF4:DQ4, Death_data!V4)</f>
        <v>97</v>
      </c>
    </row>
    <row r="5" spans="1:23" x14ac:dyDescent="0.35">
      <c r="A5" s="1">
        <f t="shared" si="0"/>
        <v>42095</v>
      </c>
      <c r="B5" s="5">
        <f>Inception_data!B5</f>
        <v>1112</v>
      </c>
      <c r="C5" s="5">
        <f>B5-SUM(Lapse_data!B5,Death_data!B5)</f>
        <v>1044</v>
      </c>
      <c r="D5" s="5">
        <f>C5-SUM(Lapse_data!C5,Death_data!C5)</f>
        <v>954</v>
      </c>
      <c r="E5" s="5">
        <f>D5-SUM(Lapse_data!D5,Death_data!D5)</f>
        <v>895</v>
      </c>
      <c r="F5" s="5">
        <f>E5-SUM(Lapse_data!E5,Death_data!E5)</f>
        <v>831</v>
      </c>
      <c r="G5" s="5">
        <f>F5-SUM(Lapse_data!F5,Death_data!F5)</f>
        <v>800</v>
      </c>
      <c r="H5" s="5">
        <f>G5-SUM(Lapse_data!G5,Death_data!G5)</f>
        <v>739</v>
      </c>
      <c r="I5" s="5">
        <f>H5-SUM(Lapse_data!H5,Death_data!H5)</f>
        <v>704</v>
      </c>
      <c r="J5" s="5">
        <f>I5-SUM(Lapse_data!I5,Death_data!I5)</f>
        <v>670</v>
      </c>
      <c r="K5" s="5">
        <f>J5-SUM(Lapse_data!J5,Death_data!J5)</f>
        <v>644</v>
      </c>
      <c r="L5" s="5">
        <f>K5-SUM(Lapse_data!K5,Death_data!K5)</f>
        <v>623</v>
      </c>
      <c r="M5" s="5">
        <f>L5-SUM(Lapse_data!L5,Death_data!L5)</f>
        <v>599</v>
      </c>
      <c r="N5" s="5">
        <f>M5-SUM(Lapse_data!M5,Death_data!M5)</f>
        <v>574</v>
      </c>
      <c r="O5" s="5">
        <f xml:space="preserve"> N5 - SUM(Lapse_data!N5:Y5, Death_data!N5)</f>
        <v>400</v>
      </c>
      <c r="P5" s="5">
        <f xml:space="preserve"> O5 - SUM(Lapse_data!Z5:AK5, Death_data!O5)</f>
        <v>307</v>
      </c>
      <c r="Q5" s="5">
        <f xml:space="preserve"> P5 - SUM(Lapse_data!AL5:AW5, Death_data!P5)</f>
        <v>247</v>
      </c>
      <c r="R5" s="5">
        <f xml:space="preserve"> Q5 - SUM(Lapse_data!AX5:BI5, Death_data!Q5)</f>
        <v>207</v>
      </c>
      <c r="S5" s="5">
        <f xml:space="preserve"> R5 - SUM(Lapse_data!BJ5:BU5, Death_data!R5)</f>
        <v>172</v>
      </c>
      <c r="T5" s="5">
        <f xml:space="preserve"> S5 - SUM(Lapse_data!BV5:CG5, Death_data!S5)</f>
        <v>148</v>
      </c>
      <c r="U5" s="5">
        <f xml:space="preserve"> T5 - SUM(Lapse_data!CH5:CS5, Death_data!T5)</f>
        <v>121</v>
      </c>
      <c r="V5" s="5">
        <f xml:space="preserve"> U5 - SUM(Lapse_data!CT5:DE5, Death_data!U5)</f>
        <v>107</v>
      </c>
      <c r="W5" s="5">
        <f xml:space="preserve"> V5 - SUM(Lapse_data!DF5:DQ5, Death_data!V5)</f>
        <v>100</v>
      </c>
    </row>
    <row r="6" spans="1:23" x14ac:dyDescent="0.35">
      <c r="A6" s="1">
        <f t="shared" si="0"/>
        <v>42125</v>
      </c>
      <c r="B6" s="5">
        <f>Inception_data!B6</f>
        <v>1031</v>
      </c>
      <c r="C6" s="5">
        <f>B6-SUM(Lapse_data!B6,Death_data!B6)</f>
        <v>977</v>
      </c>
      <c r="D6" s="5">
        <f>C6-SUM(Lapse_data!C6,Death_data!C6)</f>
        <v>893</v>
      </c>
      <c r="E6" s="5">
        <f>D6-SUM(Lapse_data!D6,Death_data!D6)</f>
        <v>825</v>
      </c>
      <c r="F6" s="5">
        <f>E6-SUM(Lapse_data!E6,Death_data!E6)</f>
        <v>760</v>
      </c>
      <c r="G6" s="5">
        <f>F6-SUM(Lapse_data!F6,Death_data!F6)</f>
        <v>710</v>
      </c>
      <c r="H6" s="5">
        <f>G6-SUM(Lapse_data!G6,Death_data!G6)</f>
        <v>665</v>
      </c>
      <c r="I6" s="5">
        <f>H6-SUM(Lapse_data!H6,Death_data!H6)</f>
        <v>640</v>
      </c>
      <c r="J6" s="5">
        <f>I6-SUM(Lapse_data!I6,Death_data!I6)</f>
        <v>608</v>
      </c>
      <c r="K6" s="5">
        <f>J6-SUM(Lapse_data!J6,Death_data!J6)</f>
        <v>577</v>
      </c>
      <c r="L6" s="5">
        <f>K6-SUM(Lapse_data!K6,Death_data!K6)</f>
        <v>548</v>
      </c>
      <c r="M6" s="5">
        <f>L6-SUM(Lapse_data!L6,Death_data!L6)</f>
        <v>519</v>
      </c>
      <c r="N6" s="5">
        <f>M6-SUM(Lapse_data!M6,Death_data!M6)</f>
        <v>493</v>
      </c>
      <c r="O6" s="5">
        <f xml:space="preserve"> N6 - SUM(Lapse_data!N6:Y6, Death_data!N6)</f>
        <v>322</v>
      </c>
      <c r="P6" s="5">
        <f xml:space="preserve"> O6 - SUM(Lapse_data!Z6:AK6, Death_data!O6)</f>
        <v>246</v>
      </c>
      <c r="Q6" s="5">
        <f xml:space="preserve"> P6 - SUM(Lapse_data!AL6:AW6, Death_data!P6)</f>
        <v>190</v>
      </c>
      <c r="R6" s="5">
        <f xml:space="preserve"> Q6 - SUM(Lapse_data!AX6:BI6, Death_data!Q6)</f>
        <v>156</v>
      </c>
      <c r="S6" s="5">
        <f xml:space="preserve"> R6 - SUM(Lapse_data!BJ6:BU6, Death_data!R6)</f>
        <v>128</v>
      </c>
      <c r="T6" s="5">
        <f xml:space="preserve"> S6 - SUM(Lapse_data!BV6:CG6, Death_data!S6)</f>
        <v>106</v>
      </c>
      <c r="U6" s="5">
        <f xml:space="preserve"> T6 - SUM(Lapse_data!CH6:CS6, Death_data!T6)</f>
        <v>93</v>
      </c>
      <c r="V6" s="5">
        <f xml:space="preserve"> U6 - SUM(Lapse_data!CT6:DE6, Death_data!U6)</f>
        <v>82</v>
      </c>
      <c r="W6" s="5">
        <f xml:space="preserve"> V6 - SUM(Lapse_data!DF6:DQ6, Death_data!V6)</f>
        <v>75</v>
      </c>
    </row>
    <row r="7" spans="1:23" x14ac:dyDescent="0.35">
      <c r="A7" s="1">
        <f t="shared" si="0"/>
        <v>42156</v>
      </c>
      <c r="B7" s="5">
        <f>Inception_data!B7</f>
        <v>895</v>
      </c>
      <c r="C7" s="5">
        <f>B7-SUM(Lapse_data!B7,Death_data!B7)</f>
        <v>848</v>
      </c>
      <c r="D7" s="5">
        <f>C7-SUM(Lapse_data!C7,Death_data!C7)</f>
        <v>751</v>
      </c>
      <c r="E7" s="5">
        <f>D7-SUM(Lapse_data!D7,Death_data!D7)</f>
        <v>707</v>
      </c>
      <c r="F7" s="5">
        <f>E7-SUM(Lapse_data!E7,Death_data!E7)</f>
        <v>652</v>
      </c>
      <c r="G7" s="5">
        <f>F7-SUM(Lapse_data!F7,Death_data!F7)</f>
        <v>615</v>
      </c>
      <c r="H7" s="5">
        <f>G7-SUM(Lapse_data!G7,Death_data!G7)</f>
        <v>593</v>
      </c>
      <c r="I7" s="5">
        <f>H7-SUM(Lapse_data!H7,Death_data!H7)</f>
        <v>557</v>
      </c>
      <c r="J7" s="5">
        <f>I7-SUM(Lapse_data!I7,Death_data!I7)</f>
        <v>535</v>
      </c>
      <c r="K7" s="5">
        <f>J7-SUM(Lapse_data!J7,Death_data!J7)</f>
        <v>508</v>
      </c>
      <c r="L7" s="5">
        <f>K7-SUM(Lapse_data!K7,Death_data!K7)</f>
        <v>488</v>
      </c>
      <c r="M7" s="5">
        <f>L7-SUM(Lapse_data!L7,Death_data!L7)</f>
        <v>466</v>
      </c>
      <c r="N7" s="5">
        <f>M7-SUM(Lapse_data!M7,Death_data!M7)</f>
        <v>446</v>
      </c>
      <c r="O7" s="5">
        <f xml:space="preserve"> N7 - SUM(Lapse_data!N7:Y7, Death_data!N7)</f>
        <v>292</v>
      </c>
      <c r="P7" s="5">
        <f xml:space="preserve"> O7 - SUM(Lapse_data!Z7:AK7, Death_data!O7)</f>
        <v>221</v>
      </c>
      <c r="Q7" s="5">
        <f xml:space="preserve"> P7 - SUM(Lapse_data!AL7:AW7, Death_data!P7)</f>
        <v>174</v>
      </c>
      <c r="R7" s="5">
        <f xml:space="preserve"> Q7 - SUM(Lapse_data!AX7:BI7, Death_data!Q7)</f>
        <v>146</v>
      </c>
      <c r="S7" s="5">
        <f xml:space="preserve"> R7 - SUM(Lapse_data!BJ7:BU7, Death_data!R7)</f>
        <v>123</v>
      </c>
      <c r="T7" s="5">
        <f xml:space="preserve"> S7 - SUM(Lapse_data!BV7:CG7, Death_data!S7)</f>
        <v>103</v>
      </c>
      <c r="U7" s="5">
        <f xml:space="preserve"> T7 - SUM(Lapse_data!CH7:CS7, Death_data!T7)</f>
        <v>88</v>
      </c>
      <c r="V7" s="5">
        <f xml:space="preserve"> U7 - SUM(Lapse_data!CT7:DE7, Death_data!U7)</f>
        <v>79</v>
      </c>
      <c r="W7" s="5">
        <f xml:space="preserve"> V7 - SUM(Lapse_data!DF7:DQ7, Death_data!V7)</f>
        <v>68</v>
      </c>
    </row>
    <row r="8" spans="1:23" x14ac:dyDescent="0.35">
      <c r="A8" s="1">
        <f t="shared" si="0"/>
        <v>42186</v>
      </c>
      <c r="B8" s="5">
        <f>Inception_data!B8</f>
        <v>803</v>
      </c>
      <c r="C8" s="5">
        <f>B8-SUM(Lapse_data!B8,Death_data!B8)</f>
        <v>774</v>
      </c>
      <c r="D8" s="5">
        <f>C8-SUM(Lapse_data!C8,Death_data!C8)</f>
        <v>733</v>
      </c>
      <c r="E8" s="5">
        <f>D8-SUM(Lapse_data!D8,Death_data!D8)</f>
        <v>705</v>
      </c>
      <c r="F8" s="5">
        <f>E8-SUM(Lapse_data!E8,Death_data!E8)</f>
        <v>663</v>
      </c>
      <c r="G8" s="5">
        <f>F8-SUM(Lapse_data!F8,Death_data!F8)</f>
        <v>626</v>
      </c>
      <c r="H8" s="5">
        <f>G8-SUM(Lapse_data!G8,Death_data!G8)</f>
        <v>579</v>
      </c>
      <c r="I8" s="5">
        <f>H8-SUM(Lapse_data!H8,Death_data!H8)</f>
        <v>557</v>
      </c>
      <c r="J8" s="5">
        <f>I8-SUM(Lapse_data!I8,Death_data!I8)</f>
        <v>537</v>
      </c>
      <c r="K8" s="5">
        <f>J8-SUM(Lapse_data!J8,Death_data!J8)</f>
        <v>511</v>
      </c>
      <c r="L8" s="5">
        <f>K8-SUM(Lapse_data!K8,Death_data!K8)</f>
        <v>491</v>
      </c>
      <c r="M8" s="5">
        <f>L8-SUM(Lapse_data!L8,Death_data!L8)</f>
        <v>474</v>
      </c>
      <c r="N8" s="5">
        <f>M8-SUM(Lapse_data!M8,Death_data!M8)</f>
        <v>461</v>
      </c>
      <c r="O8" s="5">
        <f xml:space="preserve"> N8 - SUM(Lapse_data!N8:Y8, Death_data!N8)</f>
        <v>316</v>
      </c>
      <c r="P8" s="5">
        <f xml:space="preserve"> O8 - SUM(Lapse_data!Z8:AK8, Death_data!O8)</f>
        <v>232</v>
      </c>
      <c r="Q8" s="5">
        <f xml:space="preserve"> P8 - SUM(Lapse_data!AL8:AW8, Death_data!P8)</f>
        <v>181</v>
      </c>
      <c r="R8" s="5">
        <f xml:space="preserve"> Q8 - SUM(Lapse_data!AX8:BI8, Death_data!Q8)</f>
        <v>147</v>
      </c>
      <c r="S8" s="5">
        <f xml:space="preserve"> R8 - SUM(Lapse_data!BJ8:BU8, Death_data!R8)</f>
        <v>124</v>
      </c>
      <c r="T8" s="5">
        <f xml:space="preserve"> S8 - SUM(Lapse_data!BV8:CG8, Death_data!S8)</f>
        <v>104</v>
      </c>
      <c r="U8" s="5">
        <f xml:space="preserve"> T8 - SUM(Lapse_data!CH8:CS8, Death_data!T8)</f>
        <v>94</v>
      </c>
      <c r="V8" s="5">
        <f xml:space="preserve"> U8 - SUM(Lapse_data!CT8:DE8, Death_data!U8)</f>
        <v>84</v>
      </c>
      <c r="W8" s="5">
        <f xml:space="preserve"> V8 - SUM(Lapse_data!DF8:DQ8, Death_data!V8)</f>
        <v>79</v>
      </c>
    </row>
    <row r="9" spans="1:23" x14ac:dyDescent="0.35">
      <c r="A9" s="1">
        <f t="shared" si="0"/>
        <v>42217</v>
      </c>
      <c r="B9" s="5">
        <f>Inception_data!B9</f>
        <v>768</v>
      </c>
      <c r="C9" s="5">
        <f>B9-SUM(Lapse_data!B9,Death_data!B9)</f>
        <v>735</v>
      </c>
      <c r="D9" s="5">
        <f>C9-SUM(Lapse_data!C9,Death_data!C9)</f>
        <v>677</v>
      </c>
      <c r="E9" s="5">
        <f>D9-SUM(Lapse_data!D9,Death_data!D9)</f>
        <v>638</v>
      </c>
      <c r="F9" s="5">
        <f>E9-SUM(Lapse_data!E9,Death_data!E9)</f>
        <v>589</v>
      </c>
      <c r="G9" s="5">
        <f>F9-SUM(Lapse_data!F9,Death_data!F9)</f>
        <v>554</v>
      </c>
      <c r="H9" s="5">
        <f>G9-SUM(Lapse_data!G9,Death_data!G9)</f>
        <v>524</v>
      </c>
      <c r="I9" s="5">
        <f>H9-SUM(Lapse_data!H9,Death_data!H9)</f>
        <v>495</v>
      </c>
      <c r="J9" s="5">
        <f>I9-SUM(Lapse_data!I9,Death_data!I9)</f>
        <v>467</v>
      </c>
      <c r="K9" s="5">
        <f>J9-SUM(Lapse_data!J9,Death_data!J9)</f>
        <v>439</v>
      </c>
      <c r="L9" s="5">
        <f>K9-SUM(Lapse_data!K9,Death_data!K9)</f>
        <v>425</v>
      </c>
      <c r="M9" s="5">
        <f>L9-SUM(Lapse_data!L9,Death_data!L9)</f>
        <v>407</v>
      </c>
      <c r="N9" s="5">
        <f>M9-SUM(Lapse_data!M9,Death_data!M9)</f>
        <v>392</v>
      </c>
      <c r="O9" s="5">
        <f xml:space="preserve"> N9 - SUM(Lapse_data!N9:Y9, Death_data!N9)</f>
        <v>268</v>
      </c>
      <c r="P9" s="5">
        <f xml:space="preserve"> O9 - SUM(Lapse_data!Z9:AK9, Death_data!O9)</f>
        <v>203</v>
      </c>
      <c r="Q9" s="5">
        <f xml:space="preserve"> P9 - SUM(Lapse_data!AL9:AW9, Death_data!P9)</f>
        <v>162</v>
      </c>
      <c r="R9" s="5">
        <f xml:space="preserve"> Q9 - SUM(Lapse_data!AX9:BI9, Death_data!Q9)</f>
        <v>136</v>
      </c>
      <c r="S9" s="5">
        <f xml:space="preserve"> R9 - SUM(Lapse_data!BJ9:BU9, Death_data!R9)</f>
        <v>113</v>
      </c>
      <c r="T9" s="5">
        <f xml:space="preserve"> S9 - SUM(Lapse_data!BV9:CG9, Death_data!S9)</f>
        <v>96</v>
      </c>
      <c r="U9" s="5">
        <f xml:space="preserve"> T9 - SUM(Lapse_data!CH9:CS9, Death_data!T9)</f>
        <v>86</v>
      </c>
      <c r="V9" s="5">
        <f xml:space="preserve"> U9 - SUM(Lapse_data!CT9:DE9, Death_data!U9)</f>
        <v>74</v>
      </c>
      <c r="W9" s="5">
        <f xml:space="preserve"> V9 - SUM(Lapse_data!DF9:DQ9, Death_data!V9)</f>
        <v>71</v>
      </c>
    </row>
    <row r="10" spans="1:23" x14ac:dyDescent="0.35">
      <c r="A10" s="1">
        <f t="shared" si="0"/>
        <v>42248</v>
      </c>
      <c r="B10" s="5">
        <f>Inception_data!B10</f>
        <v>783</v>
      </c>
      <c r="C10" s="5">
        <f>B10-SUM(Lapse_data!B10,Death_data!B10)</f>
        <v>743</v>
      </c>
      <c r="D10" s="5">
        <f>C10-SUM(Lapse_data!C10,Death_data!C10)</f>
        <v>670</v>
      </c>
      <c r="E10" s="5">
        <f>D10-SUM(Lapse_data!D10,Death_data!D10)</f>
        <v>633</v>
      </c>
      <c r="F10" s="5">
        <f>E10-SUM(Lapse_data!E10,Death_data!E10)</f>
        <v>587</v>
      </c>
      <c r="G10" s="5">
        <f>F10-SUM(Lapse_data!F10,Death_data!F10)</f>
        <v>549</v>
      </c>
      <c r="H10" s="5">
        <f>G10-SUM(Lapse_data!G10,Death_data!G10)</f>
        <v>510</v>
      </c>
      <c r="I10" s="5">
        <f>H10-SUM(Lapse_data!H10,Death_data!H10)</f>
        <v>490</v>
      </c>
      <c r="J10" s="5">
        <f>I10-SUM(Lapse_data!I10,Death_data!I10)</f>
        <v>465</v>
      </c>
      <c r="K10" s="5">
        <f>J10-SUM(Lapse_data!J10,Death_data!J10)</f>
        <v>434</v>
      </c>
      <c r="L10" s="5">
        <f>K10-SUM(Lapse_data!K10,Death_data!K10)</f>
        <v>414</v>
      </c>
      <c r="M10" s="5">
        <f>L10-SUM(Lapse_data!L10,Death_data!L10)</f>
        <v>401</v>
      </c>
      <c r="N10" s="5">
        <f>M10-SUM(Lapse_data!M10,Death_data!M10)</f>
        <v>388</v>
      </c>
      <c r="O10" s="5">
        <f xml:space="preserve"> N10 - SUM(Lapse_data!N10:Y10, Death_data!N10)</f>
        <v>263</v>
      </c>
      <c r="P10" s="5">
        <f xml:space="preserve"> O10 - SUM(Lapse_data!Z10:AK10, Death_data!O10)</f>
        <v>194</v>
      </c>
      <c r="Q10" s="5">
        <f xml:space="preserve"> P10 - SUM(Lapse_data!AL10:AW10, Death_data!P10)</f>
        <v>151</v>
      </c>
      <c r="R10" s="5">
        <f xml:space="preserve"> Q10 - SUM(Lapse_data!AX10:BI10, Death_data!Q10)</f>
        <v>122</v>
      </c>
      <c r="S10" s="5">
        <f xml:space="preserve"> R10 - SUM(Lapse_data!BJ10:BU10, Death_data!R10)</f>
        <v>105</v>
      </c>
      <c r="T10" s="5">
        <f xml:space="preserve"> S10 - SUM(Lapse_data!BV10:CG10, Death_data!S10)</f>
        <v>87</v>
      </c>
      <c r="U10" s="5">
        <f xml:space="preserve"> T10 - SUM(Lapse_data!CH10:CS10, Death_data!T10)</f>
        <v>71</v>
      </c>
      <c r="V10" s="5">
        <f xml:space="preserve"> U10 - SUM(Lapse_data!CT10:DE10, Death_data!U10)</f>
        <v>63</v>
      </c>
      <c r="W10" s="5">
        <f xml:space="preserve"> V10 - SUM(Lapse_data!DF10:DQ10, Death_data!V10)</f>
        <v>60</v>
      </c>
    </row>
    <row r="11" spans="1:23" x14ac:dyDescent="0.35">
      <c r="A11" s="1">
        <f t="shared" si="0"/>
        <v>42278</v>
      </c>
      <c r="B11" s="5">
        <f>Inception_data!B11</f>
        <v>1061</v>
      </c>
      <c r="C11" s="5">
        <f>B11-SUM(Lapse_data!B11,Death_data!B11)</f>
        <v>1001</v>
      </c>
      <c r="D11" s="5">
        <f>C11-SUM(Lapse_data!C11,Death_data!C11)</f>
        <v>903</v>
      </c>
      <c r="E11" s="5">
        <f>D11-SUM(Lapse_data!D11,Death_data!D11)</f>
        <v>853</v>
      </c>
      <c r="F11" s="5">
        <f>E11-SUM(Lapse_data!E11,Death_data!E11)</f>
        <v>784</v>
      </c>
      <c r="G11" s="5">
        <f>F11-SUM(Lapse_data!F11,Death_data!F11)</f>
        <v>729</v>
      </c>
      <c r="H11" s="5">
        <f>G11-SUM(Lapse_data!G11,Death_data!G11)</f>
        <v>685</v>
      </c>
      <c r="I11" s="5">
        <f>H11-SUM(Lapse_data!H11,Death_data!H11)</f>
        <v>645</v>
      </c>
      <c r="J11" s="5">
        <f>I11-SUM(Lapse_data!I11,Death_data!I11)</f>
        <v>612</v>
      </c>
      <c r="K11" s="5">
        <f>J11-SUM(Lapse_data!J11,Death_data!J11)</f>
        <v>579</v>
      </c>
      <c r="L11" s="5">
        <f>K11-SUM(Lapse_data!K11,Death_data!K11)</f>
        <v>549</v>
      </c>
      <c r="M11" s="5">
        <f>L11-SUM(Lapse_data!L11,Death_data!L11)</f>
        <v>526</v>
      </c>
      <c r="N11" s="5">
        <f>M11-SUM(Lapse_data!M11,Death_data!M11)</f>
        <v>502</v>
      </c>
      <c r="O11" s="5">
        <f xml:space="preserve"> N11 - SUM(Lapse_data!N11:Y11, Death_data!N11)</f>
        <v>332</v>
      </c>
      <c r="P11" s="5">
        <f xml:space="preserve"> O11 - SUM(Lapse_data!Z11:AK11, Death_data!O11)</f>
        <v>247</v>
      </c>
      <c r="Q11" s="5">
        <f xml:space="preserve"> P11 - SUM(Lapse_data!AL11:AW11, Death_data!P11)</f>
        <v>203</v>
      </c>
      <c r="R11" s="5">
        <f xml:space="preserve"> Q11 - SUM(Lapse_data!AX11:BI11, Death_data!Q11)</f>
        <v>158</v>
      </c>
      <c r="S11" s="5">
        <f xml:space="preserve"> R11 - SUM(Lapse_data!BJ11:BU11, Death_data!R11)</f>
        <v>130</v>
      </c>
      <c r="T11" s="5">
        <f xml:space="preserve"> S11 - SUM(Lapse_data!BV11:CG11, Death_data!S11)</f>
        <v>111</v>
      </c>
      <c r="U11" s="5">
        <f xml:space="preserve"> T11 - SUM(Lapse_data!CH11:CS11, Death_data!T11)</f>
        <v>99</v>
      </c>
      <c r="V11" s="5">
        <f xml:space="preserve"> U11 - SUM(Lapse_data!CT11:DE11, Death_data!U11)</f>
        <v>89</v>
      </c>
      <c r="W11" s="5">
        <f xml:space="preserve"> V11 - SUM(Lapse_data!DF11:DQ11, Death_data!V11)</f>
        <v>85</v>
      </c>
    </row>
    <row r="12" spans="1:23" x14ac:dyDescent="0.35">
      <c r="A12" s="1">
        <f t="shared" si="0"/>
        <v>42309</v>
      </c>
      <c r="B12" s="5">
        <f>Inception_data!B12</f>
        <v>987</v>
      </c>
      <c r="C12" s="5">
        <f>B12-SUM(Lapse_data!B12,Death_data!B12)</f>
        <v>941</v>
      </c>
      <c r="D12" s="5">
        <f>C12-SUM(Lapse_data!C12,Death_data!C12)</f>
        <v>834</v>
      </c>
      <c r="E12" s="5">
        <f>D12-SUM(Lapse_data!D12,Death_data!D12)</f>
        <v>772</v>
      </c>
      <c r="F12" s="5">
        <f>E12-SUM(Lapse_data!E12,Death_data!E12)</f>
        <v>711</v>
      </c>
      <c r="G12" s="5">
        <f>F12-SUM(Lapse_data!F12,Death_data!F12)</f>
        <v>666</v>
      </c>
      <c r="H12" s="5">
        <f>G12-SUM(Lapse_data!G12,Death_data!G12)</f>
        <v>633</v>
      </c>
      <c r="I12" s="5">
        <f>H12-SUM(Lapse_data!H12,Death_data!H12)</f>
        <v>596</v>
      </c>
      <c r="J12" s="5">
        <f>I12-SUM(Lapse_data!I12,Death_data!I12)</f>
        <v>565</v>
      </c>
      <c r="K12" s="5">
        <f>J12-SUM(Lapse_data!J12,Death_data!J12)</f>
        <v>536</v>
      </c>
      <c r="L12" s="5">
        <f>K12-SUM(Lapse_data!K12,Death_data!K12)</f>
        <v>526</v>
      </c>
      <c r="M12" s="5">
        <f>L12-SUM(Lapse_data!L12,Death_data!L12)</f>
        <v>517</v>
      </c>
      <c r="N12" s="5">
        <f>M12-SUM(Lapse_data!M12,Death_data!M12)</f>
        <v>492</v>
      </c>
      <c r="O12" s="5">
        <f xml:space="preserve"> N12 - SUM(Lapse_data!N12:Y12, Death_data!N12)</f>
        <v>330</v>
      </c>
      <c r="P12" s="5">
        <f xml:space="preserve"> O12 - SUM(Lapse_data!Z12:AK12, Death_data!O12)</f>
        <v>260</v>
      </c>
      <c r="Q12" s="5">
        <f xml:space="preserve"> P12 - SUM(Lapse_data!AL12:AW12, Death_data!P12)</f>
        <v>200</v>
      </c>
      <c r="R12" s="5">
        <f xml:space="preserve"> Q12 - SUM(Lapse_data!AX12:BI12, Death_data!Q12)</f>
        <v>171</v>
      </c>
      <c r="S12" s="5">
        <f xml:space="preserve"> R12 - SUM(Lapse_data!BJ12:BU12, Death_data!R12)</f>
        <v>150</v>
      </c>
      <c r="T12" s="5">
        <f xml:space="preserve"> S12 - SUM(Lapse_data!BV12:CG12, Death_data!S12)</f>
        <v>133</v>
      </c>
      <c r="U12" s="5">
        <f xml:space="preserve"> T12 - SUM(Lapse_data!CH12:CS12, Death_data!T12)</f>
        <v>119</v>
      </c>
      <c r="V12" s="5">
        <f xml:space="preserve"> U12 - SUM(Lapse_data!CT12:DE12, Death_data!U12)</f>
        <v>104</v>
      </c>
      <c r="W12" s="5">
        <f xml:space="preserve"> V12 - SUM(Lapse_data!DF12:DQ12, Death_data!V12)</f>
        <v>104</v>
      </c>
    </row>
    <row r="13" spans="1:23" x14ac:dyDescent="0.35">
      <c r="A13" s="1">
        <f t="shared" si="0"/>
        <v>42339</v>
      </c>
      <c r="B13" s="5">
        <f>Inception_data!B13</f>
        <v>903</v>
      </c>
      <c r="C13" s="5">
        <f>B13-SUM(Lapse_data!B13,Death_data!B13)</f>
        <v>843</v>
      </c>
      <c r="D13" s="5">
        <f>C13-SUM(Lapse_data!C13,Death_data!C13)</f>
        <v>765</v>
      </c>
      <c r="E13" s="5">
        <f>D13-SUM(Lapse_data!D13,Death_data!D13)</f>
        <v>708</v>
      </c>
      <c r="F13" s="5">
        <f>E13-SUM(Lapse_data!E13,Death_data!E13)</f>
        <v>651</v>
      </c>
      <c r="G13" s="5">
        <f>F13-SUM(Lapse_data!F13,Death_data!F13)</f>
        <v>595</v>
      </c>
      <c r="H13" s="5">
        <f>G13-SUM(Lapse_data!G13,Death_data!G13)</f>
        <v>563</v>
      </c>
      <c r="I13" s="5">
        <f>H13-SUM(Lapse_data!H13,Death_data!H13)</f>
        <v>536</v>
      </c>
      <c r="J13" s="5">
        <f>I13-SUM(Lapse_data!I13,Death_data!I13)</f>
        <v>506</v>
      </c>
      <c r="K13" s="5">
        <f>J13-SUM(Lapse_data!J13,Death_data!J13)</f>
        <v>484</v>
      </c>
      <c r="L13" s="5">
        <f>K13-SUM(Lapse_data!K13,Death_data!K13)</f>
        <v>456</v>
      </c>
      <c r="M13" s="5">
        <f>L13-SUM(Lapse_data!L13,Death_data!L13)</f>
        <v>434</v>
      </c>
      <c r="N13" s="5">
        <f>M13-SUM(Lapse_data!M13,Death_data!M13)</f>
        <v>414</v>
      </c>
      <c r="O13" s="5">
        <f xml:space="preserve"> N13 - SUM(Lapse_data!N13:Y13, Death_data!N13)</f>
        <v>273</v>
      </c>
      <c r="P13" s="5">
        <f xml:space="preserve"> O13 - SUM(Lapse_data!Z13:AK13, Death_data!O13)</f>
        <v>203</v>
      </c>
      <c r="Q13" s="5">
        <f xml:space="preserve"> P13 - SUM(Lapse_data!AL13:AW13, Death_data!P13)</f>
        <v>160</v>
      </c>
      <c r="R13" s="5">
        <f xml:space="preserve"> Q13 - SUM(Lapse_data!AX13:BI13, Death_data!Q13)</f>
        <v>130</v>
      </c>
      <c r="S13" s="5">
        <f xml:space="preserve"> R13 - SUM(Lapse_data!BJ13:BU13, Death_data!R13)</f>
        <v>112</v>
      </c>
      <c r="T13" s="5">
        <f xml:space="preserve"> S13 - SUM(Lapse_data!BV13:CG13, Death_data!S13)</f>
        <v>95</v>
      </c>
      <c r="U13" s="5">
        <f xml:space="preserve"> T13 - SUM(Lapse_data!CH13:CS13, Death_data!T13)</f>
        <v>83</v>
      </c>
      <c r="V13" s="5">
        <f xml:space="preserve"> U13 - SUM(Lapse_data!CT13:DE13, Death_data!U13)</f>
        <v>71</v>
      </c>
      <c r="W13" s="5">
        <f xml:space="preserve"> V13 - SUM(Lapse_data!DF13:DQ13, Death_data!V13)</f>
        <v>70</v>
      </c>
    </row>
    <row r="14" spans="1:23" x14ac:dyDescent="0.35">
      <c r="A14" s="4">
        <f>DATE(YEAR(A13),MONTH(A13)+1,DAY(A13))</f>
        <v>42370</v>
      </c>
      <c r="B14" s="5">
        <f>Inception_data!B14</f>
        <v>932</v>
      </c>
      <c r="C14" s="5">
        <f>B14-SUM(Lapse_data!B14,Death_data!B14)</f>
        <v>876</v>
      </c>
      <c r="D14" s="5">
        <f>C14-SUM(Lapse_data!C14,Death_data!C14)</f>
        <v>809</v>
      </c>
      <c r="E14" s="5">
        <f>D14-SUM(Lapse_data!D14,Death_data!D14)</f>
        <v>728</v>
      </c>
      <c r="F14" s="5">
        <f>E14-SUM(Lapse_data!E14,Death_data!E14)</f>
        <v>670</v>
      </c>
      <c r="G14" s="5">
        <f>F14-SUM(Lapse_data!F14,Death_data!F14)</f>
        <v>617</v>
      </c>
      <c r="H14" s="5">
        <f>G14-SUM(Lapse_data!G14,Death_data!G14)</f>
        <v>583</v>
      </c>
      <c r="I14" s="5">
        <f>H14-SUM(Lapse_data!H14,Death_data!H14)</f>
        <v>541</v>
      </c>
      <c r="J14" s="5">
        <f>I14-SUM(Lapse_data!I14,Death_data!I14)</f>
        <v>514</v>
      </c>
      <c r="K14" s="5">
        <f>J14-SUM(Lapse_data!J14,Death_data!J14)</f>
        <v>487</v>
      </c>
      <c r="L14" s="5">
        <f>K14-SUM(Lapse_data!K14,Death_data!K14)</f>
        <v>471</v>
      </c>
      <c r="M14" s="5">
        <f>L14-SUM(Lapse_data!L14,Death_data!L14)</f>
        <v>448</v>
      </c>
      <c r="N14" s="5">
        <f>M14-SUM(Lapse_data!M14,Death_data!M14)</f>
        <v>424</v>
      </c>
      <c r="O14" s="5">
        <f xml:space="preserve"> N14 - SUM(Lapse_data!N14:Y14, Death_data!N14)</f>
        <v>303</v>
      </c>
      <c r="P14" s="5">
        <f xml:space="preserve"> O14 - SUM(Lapse_data!Z14:AK14, Death_data!O14)</f>
        <v>227</v>
      </c>
      <c r="Q14" s="5">
        <f xml:space="preserve"> P14 - SUM(Lapse_data!AL14:AW14, Death_data!P14)</f>
        <v>182</v>
      </c>
      <c r="R14" s="5">
        <f xml:space="preserve"> Q14 - SUM(Lapse_data!AX14:BI14, Death_data!Q14)</f>
        <v>139</v>
      </c>
      <c r="S14" s="5">
        <f xml:space="preserve"> R14 - SUM(Lapse_data!BJ14:BU14, Death_data!R14)</f>
        <v>125</v>
      </c>
      <c r="T14" s="5">
        <f xml:space="preserve"> S14 - SUM(Lapse_data!BV14:CG14, Death_data!S14)</f>
        <v>110</v>
      </c>
      <c r="U14" s="5">
        <f xml:space="preserve"> T14 - SUM(Lapse_data!CH14:CS14, Death_data!T14)</f>
        <v>95</v>
      </c>
      <c r="V14" s="5">
        <f xml:space="preserve"> U14 - SUM(Lapse_data!CT14:DE14, Death_data!U14)</f>
        <v>84</v>
      </c>
      <c r="W14" s="5">
        <f xml:space="preserve"> V14 - SUM(Lapse_data!DF14:DQ14, Death_data!V14)</f>
        <v>84</v>
      </c>
    </row>
    <row r="15" spans="1:23" x14ac:dyDescent="0.35">
      <c r="A15" s="1">
        <f t="shared" si="0"/>
        <v>42401</v>
      </c>
      <c r="B15" s="5">
        <f>Inception_data!B15</f>
        <v>1048</v>
      </c>
      <c r="C15" s="5">
        <f>B15-SUM(Lapse_data!B15,Death_data!B15)</f>
        <v>1000</v>
      </c>
      <c r="D15" s="5">
        <f>C15-SUM(Lapse_data!C15,Death_data!C15)</f>
        <v>915</v>
      </c>
      <c r="E15" s="5">
        <f>D15-SUM(Lapse_data!D15,Death_data!D15)</f>
        <v>840</v>
      </c>
      <c r="F15" s="5">
        <f>E15-SUM(Lapse_data!E15,Death_data!E15)</f>
        <v>763</v>
      </c>
      <c r="G15" s="5">
        <f>F15-SUM(Lapse_data!F15,Death_data!F15)</f>
        <v>710</v>
      </c>
      <c r="H15" s="5">
        <f>G15-SUM(Lapse_data!G15,Death_data!G15)</f>
        <v>653</v>
      </c>
      <c r="I15" s="5">
        <f>H15-SUM(Lapse_data!H15,Death_data!H15)</f>
        <v>625</v>
      </c>
      <c r="J15" s="5">
        <f>I15-SUM(Lapse_data!I15,Death_data!I15)</f>
        <v>588</v>
      </c>
      <c r="K15" s="5">
        <f>J15-SUM(Lapse_data!J15,Death_data!J15)</f>
        <v>559</v>
      </c>
      <c r="L15" s="5">
        <f>K15-SUM(Lapse_data!K15,Death_data!K15)</f>
        <v>534</v>
      </c>
      <c r="M15" s="5">
        <f>L15-SUM(Lapse_data!L15,Death_data!L15)</f>
        <v>502</v>
      </c>
      <c r="N15" s="5">
        <f>M15-SUM(Lapse_data!M15,Death_data!M15)</f>
        <v>484</v>
      </c>
      <c r="O15" s="5">
        <f xml:space="preserve"> N15 - SUM(Lapse_data!N15:Y15, Death_data!N15)</f>
        <v>329</v>
      </c>
      <c r="P15" s="5">
        <f xml:space="preserve"> O15 - SUM(Lapse_data!Z15:AK15, Death_data!O15)</f>
        <v>246</v>
      </c>
      <c r="Q15" s="5">
        <f xml:space="preserve"> P15 - SUM(Lapse_data!AL15:AW15, Death_data!P15)</f>
        <v>197</v>
      </c>
      <c r="R15" s="5">
        <f xml:space="preserve"> Q15 - SUM(Lapse_data!AX15:BI15, Death_data!Q15)</f>
        <v>157</v>
      </c>
      <c r="S15" s="5">
        <f xml:space="preserve"> R15 - SUM(Lapse_data!BJ15:BU15, Death_data!R15)</f>
        <v>131</v>
      </c>
      <c r="T15" s="5">
        <f xml:space="preserve"> S15 - SUM(Lapse_data!BV15:CG15, Death_data!S15)</f>
        <v>112</v>
      </c>
      <c r="U15" s="5">
        <f xml:space="preserve"> T15 - SUM(Lapse_data!CH15:CS15, Death_data!T15)</f>
        <v>103</v>
      </c>
      <c r="V15" s="5">
        <f xml:space="preserve"> U15 - SUM(Lapse_data!CT15:DE15, Death_data!U15)</f>
        <v>94</v>
      </c>
      <c r="W15" s="5">
        <f xml:space="preserve"> V15 - SUM(Lapse_data!DF15:DQ15, Death_data!V15)</f>
        <v>94</v>
      </c>
    </row>
    <row r="16" spans="1:23" x14ac:dyDescent="0.35">
      <c r="A16" s="1">
        <f t="shared" si="0"/>
        <v>42430</v>
      </c>
      <c r="B16" s="5">
        <f>Inception_data!B16</f>
        <v>1046</v>
      </c>
      <c r="C16" s="5">
        <f>B16-SUM(Lapse_data!B16,Death_data!B16)</f>
        <v>985</v>
      </c>
      <c r="D16" s="5">
        <f>C16-SUM(Lapse_data!C16,Death_data!C16)</f>
        <v>888</v>
      </c>
      <c r="E16" s="5">
        <f>D16-SUM(Lapse_data!D16,Death_data!D16)</f>
        <v>825</v>
      </c>
      <c r="F16" s="5">
        <f>E16-SUM(Lapse_data!E16,Death_data!E16)</f>
        <v>761</v>
      </c>
      <c r="G16" s="5">
        <f>F16-SUM(Lapse_data!F16,Death_data!F16)</f>
        <v>712</v>
      </c>
      <c r="H16" s="5">
        <f>G16-SUM(Lapse_data!G16,Death_data!G16)</f>
        <v>662</v>
      </c>
      <c r="I16" s="5">
        <f>H16-SUM(Lapse_data!H16,Death_data!H16)</f>
        <v>618</v>
      </c>
      <c r="J16" s="5">
        <f>I16-SUM(Lapse_data!I16,Death_data!I16)</f>
        <v>597</v>
      </c>
      <c r="K16" s="5">
        <f>J16-SUM(Lapse_data!J16,Death_data!J16)</f>
        <v>573</v>
      </c>
      <c r="L16" s="5">
        <f>K16-SUM(Lapse_data!K16,Death_data!K16)</f>
        <v>542</v>
      </c>
      <c r="M16" s="5">
        <f>L16-SUM(Lapse_data!L16,Death_data!L16)</f>
        <v>515</v>
      </c>
      <c r="N16" s="5">
        <f>M16-SUM(Lapse_data!M16,Death_data!M16)</f>
        <v>498</v>
      </c>
      <c r="O16" s="5">
        <f xml:space="preserve"> N16 - SUM(Lapse_data!N16:Y16, Death_data!N16)</f>
        <v>327</v>
      </c>
      <c r="P16" s="5">
        <f xml:space="preserve"> O16 - SUM(Lapse_data!Z16:AK16, Death_data!O16)</f>
        <v>245</v>
      </c>
      <c r="Q16" s="5">
        <f xml:space="preserve"> P16 - SUM(Lapse_data!AL16:AW16, Death_data!P16)</f>
        <v>195</v>
      </c>
      <c r="R16" s="5">
        <f xml:space="preserve"> Q16 - SUM(Lapse_data!AX16:BI16, Death_data!Q16)</f>
        <v>164</v>
      </c>
      <c r="S16" s="5">
        <f xml:space="preserve"> R16 - SUM(Lapse_data!BJ16:BU16, Death_data!R16)</f>
        <v>142</v>
      </c>
      <c r="T16" s="5">
        <f xml:space="preserve"> S16 - SUM(Lapse_data!BV16:CG16, Death_data!S16)</f>
        <v>129</v>
      </c>
      <c r="U16" s="5">
        <f xml:space="preserve"> T16 - SUM(Lapse_data!CH16:CS16, Death_data!T16)</f>
        <v>114</v>
      </c>
      <c r="V16" s="5">
        <f xml:space="preserve"> U16 - SUM(Lapse_data!CT16:DE16, Death_data!U16)</f>
        <v>107</v>
      </c>
      <c r="W16" s="5">
        <f xml:space="preserve"> V16 - SUM(Lapse_data!DF16:DQ16, Death_data!V16)</f>
        <v>107</v>
      </c>
    </row>
    <row r="17" spans="1:23" x14ac:dyDescent="0.35">
      <c r="A17" s="1">
        <f t="shared" si="0"/>
        <v>42461</v>
      </c>
      <c r="B17" s="5">
        <f>Inception_data!B17</f>
        <v>1116</v>
      </c>
      <c r="C17" s="5">
        <f>B17-SUM(Lapse_data!B17,Death_data!B17)</f>
        <v>1043</v>
      </c>
      <c r="D17" s="5">
        <f>C17-SUM(Lapse_data!C17,Death_data!C17)</f>
        <v>937</v>
      </c>
      <c r="E17" s="5">
        <f>D17-SUM(Lapse_data!D17,Death_data!D17)</f>
        <v>869</v>
      </c>
      <c r="F17" s="5">
        <f>E17-SUM(Lapse_data!E17,Death_data!E17)</f>
        <v>791</v>
      </c>
      <c r="G17" s="5">
        <f>F17-SUM(Lapse_data!F17,Death_data!F17)</f>
        <v>742</v>
      </c>
      <c r="H17" s="5">
        <f>G17-SUM(Lapse_data!G17,Death_data!G17)</f>
        <v>705</v>
      </c>
      <c r="I17" s="5">
        <f>H17-SUM(Lapse_data!H17,Death_data!H17)</f>
        <v>660</v>
      </c>
      <c r="J17" s="5">
        <f>I17-SUM(Lapse_data!I17,Death_data!I17)</f>
        <v>619</v>
      </c>
      <c r="K17" s="5">
        <f>J17-SUM(Lapse_data!J17,Death_data!J17)</f>
        <v>595</v>
      </c>
      <c r="L17" s="5">
        <f>K17-SUM(Lapse_data!K17,Death_data!K17)</f>
        <v>569</v>
      </c>
      <c r="M17" s="5">
        <f>L17-SUM(Lapse_data!L17,Death_data!L17)</f>
        <v>543</v>
      </c>
      <c r="N17" s="5">
        <f>M17-SUM(Lapse_data!M17,Death_data!M17)</f>
        <v>514</v>
      </c>
      <c r="O17" s="5">
        <f xml:space="preserve"> N17 - SUM(Lapse_data!N17:Y17, Death_data!N17)</f>
        <v>358</v>
      </c>
      <c r="P17" s="5">
        <f xml:space="preserve"> O17 - SUM(Lapse_data!Z17:AK17, Death_data!O17)</f>
        <v>280</v>
      </c>
      <c r="Q17" s="5">
        <f xml:space="preserve"> P17 - SUM(Lapse_data!AL17:AW17, Death_data!P17)</f>
        <v>221</v>
      </c>
      <c r="R17" s="5">
        <f xml:space="preserve"> Q17 - SUM(Lapse_data!AX17:BI17, Death_data!Q17)</f>
        <v>185</v>
      </c>
      <c r="S17" s="5">
        <f xml:space="preserve"> R17 - SUM(Lapse_data!BJ17:BU17, Death_data!R17)</f>
        <v>155</v>
      </c>
      <c r="T17" s="5">
        <f xml:space="preserve"> S17 - SUM(Lapse_data!BV17:CG17, Death_data!S17)</f>
        <v>132</v>
      </c>
      <c r="U17" s="5">
        <f xml:space="preserve"> T17 - SUM(Lapse_data!CH17:CS17, Death_data!T17)</f>
        <v>115</v>
      </c>
      <c r="V17" s="5">
        <f xml:space="preserve"> U17 - SUM(Lapse_data!CT17:DE17, Death_data!U17)</f>
        <v>103</v>
      </c>
      <c r="W17" s="5">
        <f xml:space="preserve"> V17 - SUM(Lapse_data!DF17:DQ17, Death_data!V17)</f>
        <v>103</v>
      </c>
    </row>
    <row r="18" spans="1:23" x14ac:dyDescent="0.35">
      <c r="A18" s="1">
        <f t="shared" si="0"/>
        <v>42491</v>
      </c>
      <c r="B18" s="5">
        <f>Inception_data!B18</f>
        <v>827</v>
      </c>
      <c r="C18" s="5">
        <f>B18-SUM(Lapse_data!B18,Death_data!B18)</f>
        <v>771</v>
      </c>
      <c r="D18" s="5">
        <f>C18-SUM(Lapse_data!C18,Death_data!C18)</f>
        <v>707</v>
      </c>
      <c r="E18" s="5">
        <f>D18-SUM(Lapse_data!D18,Death_data!D18)</f>
        <v>663</v>
      </c>
      <c r="F18" s="5">
        <f>E18-SUM(Lapse_data!E18,Death_data!E18)</f>
        <v>617</v>
      </c>
      <c r="G18" s="5">
        <f>F18-SUM(Lapse_data!F18,Death_data!F18)</f>
        <v>584</v>
      </c>
      <c r="H18" s="5">
        <f>G18-SUM(Lapse_data!G18,Death_data!G18)</f>
        <v>548</v>
      </c>
      <c r="I18" s="5">
        <f>H18-SUM(Lapse_data!H18,Death_data!H18)</f>
        <v>508</v>
      </c>
      <c r="J18" s="5">
        <f>I18-SUM(Lapse_data!I18,Death_data!I18)</f>
        <v>484</v>
      </c>
      <c r="K18" s="5">
        <f>J18-SUM(Lapse_data!J18,Death_data!J18)</f>
        <v>461</v>
      </c>
      <c r="L18" s="5">
        <f>K18-SUM(Lapse_data!K18,Death_data!K18)</f>
        <v>437</v>
      </c>
      <c r="M18" s="5">
        <f>L18-SUM(Lapse_data!L18,Death_data!L18)</f>
        <v>418</v>
      </c>
      <c r="N18" s="5">
        <f>M18-SUM(Lapse_data!M18,Death_data!M18)</f>
        <v>397</v>
      </c>
      <c r="O18" s="5">
        <f xml:space="preserve"> N18 - SUM(Lapse_data!N18:Y18, Death_data!N18)</f>
        <v>281</v>
      </c>
      <c r="P18" s="5">
        <f xml:space="preserve"> O18 - SUM(Lapse_data!Z18:AK18, Death_data!O18)</f>
        <v>228</v>
      </c>
      <c r="Q18" s="5">
        <f xml:space="preserve"> P18 - SUM(Lapse_data!AL18:AW18, Death_data!P18)</f>
        <v>175</v>
      </c>
      <c r="R18" s="5">
        <f xml:space="preserve"> Q18 - SUM(Lapse_data!AX18:BI18, Death_data!Q18)</f>
        <v>141</v>
      </c>
      <c r="S18" s="5">
        <f xml:space="preserve"> R18 - SUM(Lapse_data!BJ18:BU18, Death_data!R18)</f>
        <v>118</v>
      </c>
      <c r="T18" s="5">
        <f xml:space="preserve"> S18 - SUM(Lapse_data!BV18:CG18, Death_data!S18)</f>
        <v>102</v>
      </c>
      <c r="U18" s="5">
        <f xml:space="preserve"> T18 - SUM(Lapse_data!CH18:CS18, Death_data!T18)</f>
        <v>93</v>
      </c>
      <c r="V18" s="5">
        <f xml:space="preserve"> U18 - SUM(Lapse_data!CT18:DE18, Death_data!U18)</f>
        <v>86</v>
      </c>
      <c r="W18" s="5">
        <f xml:space="preserve"> V18 - SUM(Lapse_data!DF18:DQ18, Death_data!V18)</f>
        <v>86</v>
      </c>
    </row>
    <row r="19" spans="1:23" x14ac:dyDescent="0.35">
      <c r="A19" s="1">
        <f t="shared" si="0"/>
        <v>42522</v>
      </c>
      <c r="B19" s="5">
        <f>Inception_data!B19</f>
        <v>737</v>
      </c>
      <c r="C19" s="5">
        <f>B19-SUM(Lapse_data!B19,Death_data!B19)</f>
        <v>684</v>
      </c>
      <c r="D19" s="5">
        <f>C19-SUM(Lapse_data!C19,Death_data!C19)</f>
        <v>581</v>
      </c>
      <c r="E19" s="5">
        <f>D19-SUM(Lapse_data!D19,Death_data!D19)</f>
        <v>532</v>
      </c>
      <c r="F19" s="5">
        <f>E19-SUM(Lapse_data!E19,Death_data!E19)</f>
        <v>478</v>
      </c>
      <c r="G19" s="5">
        <f>F19-SUM(Lapse_data!F19,Death_data!F19)</f>
        <v>447</v>
      </c>
      <c r="H19" s="5">
        <f>G19-SUM(Lapse_data!G19,Death_data!G19)</f>
        <v>429</v>
      </c>
      <c r="I19" s="5">
        <f>H19-SUM(Lapse_data!H19,Death_data!H19)</f>
        <v>399</v>
      </c>
      <c r="J19" s="5">
        <f>I19-SUM(Lapse_data!I19,Death_data!I19)</f>
        <v>377</v>
      </c>
      <c r="K19" s="5">
        <f>J19-SUM(Lapse_data!J19,Death_data!J19)</f>
        <v>361</v>
      </c>
      <c r="L19" s="5">
        <f>K19-SUM(Lapse_data!K19,Death_data!K19)</f>
        <v>341</v>
      </c>
      <c r="M19" s="5">
        <f>L19-SUM(Lapse_data!L19,Death_data!L19)</f>
        <v>328</v>
      </c>
      <c r="N19" s="5">
        <f>M19-SUM(Lapse_data!M19,Death_data!M19)</f>
        <v>315</v>
      </c>
      <c r="O19" s="5">
        <f xml:space="preserve"> N19 - SUM(Lapse_data!N19:Y19, Death_data!N19)</f>
        <v>221</v>
      </c>
      <c r="P19" s="5">
        <f xml:space="preserve"> O19 - SUM(Lapse_data!Z19:AK19, Death_data!O19)</f>
        <v>169</v>
      </c>
      <c r="Q19" s="5">
        <f xml:space="preserve"> P19 - SUM(Lapse_data!AL19:AW19, Death_data!P19)</f>
        <v>135</v>
      </c>
      <c r="R19" s="5">
        <f xml:space="preserve"> Q19 - SUM(Lapse_data!AX19:BI19, Death_data!Q19)</f>
        <v>106</v>
      </c>
      <c r="S19" s="5">
        <f xml:space="preserve"> R19 - SUM(Lapse_data!BJ19:BU19, Death_data!R19)</f>
        <v>88</v>
      </c>
      <c r="T19" s="5">
        <f xml:space="preserve"> S19 - SUM(Lapse_data!BV19:CG19, Death_data!S19)</f>
        <v>71</v>
      </c>
      <c r="U19" s="5">
        <f xml:space="preserve"> T19 - SUM(Lapse_data!CH19:CS19, Death_data!T19)</f>
        <v>63</v>
      </c>
      <c r="V19" s="5">
        <f xml:space="preserve"> U19 - SUM(Lapse_data!CT19:DE19, Death_data!U19)</f>
        <v>58</v>
      </c>
      <c r="W19" s="5">
        <f xml:space="preserve"> V19 - SUM(Lapse_data!DF19:DQ19, Death_data!V19)</f>
        <v>58</v>
      </c>
    </row>
    <row r="20" spans="1:23" x14ac:dyDescent="0.35">
      <c r="A20" s="1">
        <f t="shared" si="0"/>
        <v>42552</v>
      </c>
      <c r="B20" s="5">
        <f>Inception_data!B20</f>
        <v>840</v>
      </c>
      <c r="C20" s="5">
        <f>B20-SUM(Lapse_data!B20,Death_data!B20)</f>
        <v>780</v>
      </c>
      <c r="D20" s="5">
        <f>C20-SUM(Lapse_data!C20,Death_data!C20)</f>
        <v>695</v>
      </c>
      <c r="E20" s="5">
        <f>D20-SUM(Lapse_data!D20,Death_data!D20)</f>
        <v>637</v>
      </c>
      <c r="F20" s="5">
        <f>E20-SUM(Lapse_data!E20,Death_data!E20)</f>
        <v>585</v>
      </c>
      <c r="G20" s="5">
        <f>F20-SUM(Lapse_data!F20,Death_data!F20)</f>
        <v>553</v>
      </c>
      <c r="H20" s="5">
        <f>G20-SUM(Lapse_data!G20,Death_data!G20)</f>
        <v>515</v>
      </c>
      <c r="I20" s="5">
        <f>H20-SUM(Lapse_data!H20,Death_data!H20)</f>
        <v>482</v>
      </c>
      <c r="J20" s="5">
        <f>I20-SUM(Lapse_data!I20,Death_data!I20)</f>
        <v>447</v>
      </c>
      <c r="K20" s="5">
        <f>J20-SUM(Lapse_data!J20,Death_data!J20)</f>
        <v>434</v>
      </c>
      <c r="L20" s="5">
        <f>K20-SUM(Lapse_data!K20,Death_data!K20)</f>
        <v>413</v>
      </c>
      <c r="M20" s="5">
        <f>L20-SUM(Lapse_data!L20,Death_data!L20)</f>
        <v>393</v>
      </c>
      <c r="N20" s="5">
        <f>M20-SUM(Lapse_data!M20,Death_data!M20)</f>
        <v>373</v>
      </c>
      <c r="O20" s="5">
        <f xml:space="preserve"> N20 - SUM(Lapse_data!N20:Y20, Death_data!N20)</f>
        <v>262</v>
      </c>
      <c r="P20" s="5">
        <f xml:space="preserve"> O20 - SUM(Lapse_data!Z20:AK20, Death_data!O20)</f>
        <v>194</v>
      </c>
      <c r="Q20" s="5">
        <f xml:space="preserve"> P20 - SUM(Lapse_data!AL20:AW20, Death_data!P20)</f>
        <v>156</v>
      </c>
      <c r="R20" s="5">
        <f xml:space="preserve"> Q20 - SUM(Lapse_data!AX20:BI20, Death_data!Q20)</f>
        <v>133</v>
      </c>
      <c r="S20" s="5">
        <f xml:space="preserve"> R20 - SUM(Lapse_data!BJ20:BU20, Death_data!R20)</f>
        <v>113</v>
      </c>
      <c r="T20" s="5">
        <f xml:space="preserve"> S20 - SUM(Lapse_data!BV20:CG20, Death_data!S20)</f>
        <v>100</v>
      </c>
      <c r="U20" s="5">
        <f xml:space="preserve"> T20 - SUM(Lapse_data!CH20:CS20, Death_data!T20)</f>
        <v>88</v>
      </c>
      <c r="V20" s="5">
        <f xml:space="preserve"> U20 - SUM(Lapse_data!CT20:DE20, Death_data!U20)</f>
        <v>82</v>
      </c>
      <c r="W20" s="5">
        <f xml:space="preserve"> V20 - SUM(Lapse_data!DF20:DQ20, Death_data!V20)</f>
        <v>82</v>
      </c>
    </row>
    <row r="21" spans="1:23" x14ac:dyDescent="0.35">
      <c r="A21" s="1">
        <f t="shared" si="0"/>
        <v>42583</v>
      </c>
      <c r="B21" s="5">
        <f>Inception_data!B21</f>
        <v>564</v>
      </c>
      <c r="C21" s="5">
        <f>B21-SUM(Lapse_data!B21,Death_data!B21)</f>
        <v>529</v>
      </c>
      <c r="D21" s="5">
        <f>C21-SUM(Lapse_data!C21,Death_data!C21)</f>
        <v>470</v>
      </c>
      <c r="E21" s="5">
        <f>D21-SUM(Lapse_data!D21,Death_data!D21)</f>
        <v>432</v>
      </c>
      <c r="F21" s="5">
        <f>E21-SUM(Lapse_data!E21,Death_data!E21)</f>
        <v>397</v>
      </c>
      <c r="G21" s="5">
        <f>F21-SUM(Lapse_data!F21,Death_data!F21)</f>
        <v>368</v>
      </c>
      <c r="H21" s="5">
        <f>G21-SUM(Lapse_data!G21,Death_data!G21)</f>
        <v>333</v>
      </c>
      <c r="I21" s="5">
        <f>H21-SUM(Lapse_data!H21,Death_data!H21)</f>
        <v>309</v>
      </c>
      <c r="J21" s="5">
        <f>I21-SUM(Lapse_data!I21,Death_data!I21)</f>
        <v>291</v>
      </c>
      <c r="K21" s="5">
        <f>J21-SUM(Lapse_data!J21,Death_data!J21)</f>
        <v>274</v>
      </c>
      <c r="L21" s="5">
        <f>K21-SUM(Lapse_data!K21,Death_data!K21)</f>
        <v>258</v>
      </c>
      <c r="M21" s="5">
        <f>L21-SUM(Lapse_data!L21,Death_data!L21)</f>
        <v>252</v>
      </c>
      <c r="N21" s="5">
        <f>M21-SUM(Lapse_data!M21,Death_data!M21)</f>
        <v>240</v>
      </c>
      <c r="O21" s="5">
        <f xml:space="preserve"> N21 - SUM(Lapse_data!N21:Y21, Death_data!N21)</f>
        <v>167</v>
      </c>
      <c r="P21" s="5">
        <f xml:space="preserve"> O21 - SUM(Lapse_data!Z21:AK21, Death_data!O21)</f>
        <v>112</v>
      </c>
      <c r="Q21" s="5">
        <f xml:space="preserve"> P21 - SUM(Lapse_data!AL21:AW21, Death_data!P21)</f>
        <v>90</v>
      </c>
      <c r="R21" s="5">
        <f xml:space="preserve"> Q21 - SUM(Lapse_data!AX21:BI21, Death_data!Q21)</f>
        <v>72</v>
      </c>
      <c r="S21" s="5">
        <f xml:space="preserve"> R21 - SUM(Lapse_data!BJ21:BU21, Death_data!R21)</f>
        <v>54</v>
      </c>
      <c r="T21" s="5">
        <f xml:space="preserve"> S21 - SUM(Lapse_data!BV21:CG21, Death_data!S21)</f>
        <v>49</v>
      </c>
      <c r="U21" s="5">
        <f xml:space="preserve"> T21 - SUM(Lapse_data!CH21:CS21, Death_data!T21)</f>
        <v>45</v>
      </c>
      <c r="V21" s="5">
        <f xml:space="preserve"> U21 - SUM(Lapse_data!CT21:DE21, Death_data!U21)</f>
        <v>44</v>
      </c>
      <c r="W21" s="5">
        <f xml:space="preserve"> V21 - SUM(Lapse_data!DF21:DQ21, Death_data!V21)</f>
        <v>44</v>
      </c>
    </row>
    <row r="22" spans="1:23" x14ac:dyDescent="0.35">
      <c r="A22" s="1">
        <f t="shared" si="0"/>
        <v>42614</v>
      </c>
      <c r="B22" s="5">
        <f>Inception_data!B22</f>
        <v>392</v>
      </c>
      <c r="C22" s="5">
        <f>B22-SUM(Lapse_data!B22,Death_data!B22)</f>
        <v>367</v>
      </c>
      <c r="D22" s="5">
        <f>C22-SUM(Lapse_data!C22,Death_data!C22)</f>
        <v>323</v>
      </c>
      <c r="E22" s="5">
        <f>D22-SUM(Lapse_data!D22,Death_data!D22)</f>
        <v>297</v>
      </c>
      <c r="F22" s="5">
        <f>E22-SUM(Lapse_data!E22,Death_data!E22)</f>
        <v>277</v>
      </c>
      <c r="G22" s="5">
        <f>F22-SUM(Lapse_data!F22,Death_data!F22)</f>
        <v>254</v>
      </c>
      <c r="H22" s="5">
        <f>G22-SUM(Lapse_data!G22,Death_data!G22)</f>
        <v>240</v>
      </c>
      <c r="I22" s="5">
        <f>H22-SUM(Lapse_data!H22,Death_data!H22)</f>
        <v>224</v>
      </c>
      <c r="J22" s="5">
        <f>I22-SUM(Lapse_data!I22,Death_data!I22)</f>
        <v>216</v>
      </c>
      <c r="K22" s="5">
        <f>J22-SUM(Lapse_data!J22,Death_data!J22)</f>
        <v>203</v>
      </c>
      <c r="L22" s="5">
        <f>K22-SUM(Lapse_data!K22,Death_data!K22)</f>
        <v>196</v>
      </c>
      <c r="M22" s="5">
        <f>L22-SUM(Lapse_data!L22,Death_data!L22)</f>
        <v>186</v>
      </c>
      <c r="N22" s="5">
        <f>M22-SUM(Lapse_data!M22,Death_data!M22)</f>
        <v>181</v>
      </c>
      <c r="O22" s="5">
        <f xml:space="preserve"> N22 - SUM(Lapse_data!N22:Y22, Death_data!N22)</f>
        <v>114</v>
      </c>
      <c r="P22" s="5">
        <f xml:space="preserve"> O22 - SUM(Lapse_data!Z22:AK22, Death_data!O22)</f>
        <v>78</v>
      </c>
      <c r="Q22" s="5">
        <f xml:space="preserve"> P22 - SUM(Lapse_data!AL22:AW22, Death_data!P22)</f>
        <v>65</v>
      </c>
      <c r="R22" s="5">
        <f xml:space="preserve"> Q22 - SUM(Lapse_data!AX22:BI22, Death_data!Q22)</f>
        <v>44</v>
      </c>
      <c r="S22" s="5">
        <f xml:space="preserve"> R22 - SUM(Lapse_data!BJ22:BU22, Death_data!R22)</f>
        <v>35</v>
      </c>
      <c r="T22" s="5">
        <f xml:space="preserve"> S22 - SUM(Lapse_data!BV22:CG22, Death_data!S22)</f>
        <v>31</v>
      </c>
      <c r="U22" s="5">
        <f xml:space="preserve"> T22 - SUM(Lapse_data!CH22:CS22, Death_data!T22)</f>
        <v>27</v>
      </c>
      <c r="V22" s="5">
        <f xml:space="preserve"> U22 - SUM(Lapse_data!CT22:DE22, Death_data!U22)</f>
        <v>26</v>
      </c>
      <c r="W22" s="5">
        <f xml:space="preserve"> V22 - SUM(Lapse_data!DF22:DQ22, Death_data!V22)</f>
        <v>26</v>
      </c>
    </row>
    <row r="23" spans="1:23" x14ac:dyDescent="0.35">
      <c r="A23" s="1">
        <f t="shared" si="0"/>
        <v>42644</v>
      </c>
      <c r="B23" s="5">
        <f>Inception_data!B23</f>
        <v>609</v>
      </c>
      <c r="C23" s="5">
        <f>B23-SUM(Lapse_data!B23,Death_data!B23)</f>
        <v>569</v>
      </c>
      <c r="D23" s="5">
        <f>C23-SUM(Lapse_data!C23,Death_data!C23)</f>
        <v>494</v>
      </c>
      <c r="E23" s="5">
        <f>D23-SUM(Lapse_data!D23,Death_data!D23)</f>
        <v>449</v>
      </c>
      <c r="F23" s="5">
        <f>E23-SUM(Lapse_data!E23,Death_data!E23)</f>
        <v>410</v>
      </c>
      <c r="G23" s="5">
        <f>F23-SUM(Lapse_data!F23,Death_data!F23)</f>
        <v>388</v>
      </c>
      <c r="H23" s="5">
        <f>G23-SUM(Lapse_data!G23,Death_data!G23)</f>
        <v>365</v>
      </c>
      <c r="I23" s="5">
        <f>H23-SUM(Lapse_data!H23,Death_data!H23)</f>
        <v>344</v>
      </c>
      <c r="J23" s="5">
        <f>I23-SUM(Lapse_data!I23,Death_data!I23)</f>
        <v>331</v>
      </c>
      <c r="K23" s="5">
        <f>J23-SUM(Lapse_data!J23,Death_data!J23)</f>
        <v>324</v>
      </c>
      <c r="L23" s="5">
        <f>K23-SUM(Lapse_data!K23,Death_data!K23)</f>
        <v>310</v>
      </c>
      <c r="M23" s="5">
        <f>L23-SUM(Lapse_data!L23,Death_data!L23)</f>
        <v>299</v>
      </c>
      <c r="N23" s="5">
        <f>M23-SUM(Lapse_data!M23,Death_data!M23)</f>
        <v>290</v>
      </c>
      <c r="O23" s="5">
        <f xml:space="preserve"> N23 - SUM(Lapse_data!N23:Y23, Death_data!N23)</f>
        <v>200</v>
      </c>
      <c r="P23" s="5">
        <f xml:space="preserve"> O23 - SUM(Lapse_data!Z23:AK23, Death_data!O23)</f>
        <v>151</v>
      </c>
      <c r="Q23" s="5">
        <f xml:space="preserve"> P23 - SUM(Lapse_data!AL23:AW23, Death_data!P23)</f>
        <v>121</v>
      </c>
      <c r="R23" s="5">
        <f xml:space="preserve"> Q23 - SUM(Lapse_data!AX23:BI23, Death_data!Q23)</f>
        <v>102</v>
      </c>
      <c r="S23" s="5">
        <f xml:space="preserve"> R23 - SUM(Lapse_data!BJ23:BU23, Death_data!R23)</f>
        <v>82</v>
      </c>
      <c r="T23" s="5">
        <f xml:space="preserve"> S23 - SUM(Lapse_data!BV23:CG23, Death_data!S23)</f>
        <v>67</v>
      </c>
      <c r="U23" s="5">
        <f xml:space="preserve"> T23 - SUM(Lapse_data!CH23:CS23, Death_data!T23)</f>
        <v>58</v>
      </c>
      <c r="V23" s="5">
        <f xml:space="preserve"> U23 - SUM(Lapse_data!CT23:DE23, Death_data!U23)</f>
        <v>56</v>
      </c>
      <c r="W23" s="5">
        <f xml:space="preserve"> V23 - SUM(Lapse_data!DF23:DQ23, Death_data!V23)</f>
        <v>56</v>
      </c>
    </row>
    <row r="24" spans="1:23" x14ac:dyDescent="0.35">
      <c r="A24" s="1">
        <f t="shared" si="0"/>
        <v>42675</v>
      </c>
      <c r="B24" s="5">
        <f>Inception_data!B24</f>
        <v>549</v>
      </c>
      <c r="C24" s="5">
        <f>B24-SUM(Lapse_data!B24,Death_data!B24)</f>
        <v>511</v>
      </c>
      <c r="D24" s="5">
        <f>C24-SUM(Lapse_data!C24,Death_data!C24)</f>
        <v>466</v>
      </c>
      <c r="E24" s="5">
        <f>D24-SUM(Lapse_data!D24,Death_data!D24)</f>
        <v>425</v>
      </c>
      <c r="F24" s="5">
        <f>E24-SUM(Lapse_data!E24,Death_data!E24)</f>
        <v>393</v>
      </c>
      <c r="G24" s="5">
        <f>F24-SUM(Lapse_data!F24,Death_data!F24)</f>
        <v>368</v>
      </c>
      <c r="H24" s="5">
        <f>G24-SUM(Lapse_data!G24,Death_data!G24)</f>
        <v>347</v>
      </c>
      <c r="I24" s="5">
        <f>H24-SUM(Lapse_data!H24,Death_data!H24)</f>
        <v>331</v>
      </c>
      <c r="J24" s="5">
        <f>I24-SUM(Lapse_data!I24,Death_data!I24)</f>
        <v>323</v>
      </c>
      <c r="K24" s="5">
        <f>J24-SUM(Lapse_data!J24,Death_data!J24)</f>
        <v>309</v>
      </c>
      <c r="L24" s="5">
        <f>K24-SUM(Lapse_data!K24,Death_data!K24)</f>
        <v>298</v>
      </c>
      <c r="M24" s="5">
        <f>L24-SUM(Lapse_data!L24,Death_data!L24)</f>
        <v>285</v>
      </c>
      <c r="N24" s="5">
        <f>M24-SUM(Lapse_data!M24,Death_data!M24)</f>
        <v>276</v>
      </c>
      <c r="O24" s="5">
        <f xml:space="preserve"> N24 - SUM(Lapse_data!N24:Y24, Death_data!N24)</f>
        <v>175</v>
      </c>
      <c r="P24" s="5">
        <f xml:space="preserve"> O24 - SUM(Lapse_data!Z24:AK24, Death_data!O24)</f>
        <v>138</v>
      </c>
      <c r="Q24" s="5">
        <f xml:space="preserve"> P24 - SUM(Lapse_data!AL24:AW24, Death_data!P24)</f>
        <v>111</v>
      </c>
      <c r="R24" s="5">
        <f xml:space="preserve"> Q24 - SUM(Lapse_data!AX24:BI24, Death_data!Q24)</f>
        <v>97</v>
      </c>
      <c r="S24" s="5">
        <f xml:space="preserve"> R24 - SUM(Lapse_data!BJ24:BU24, Death_data!R24)</f>
        <v>81</v>
      </c>
      <c r="T24" s="5">
        <f xml:space="preserve"> S24 - SUM(Lapse_data!BV24:CG24, Death_data!S24)</f>
        <v>71</v>
      </c>
      <c r="U24" s="5">
        <f xml:space="preserve"> T24 - SUM(Lapse_data!CH24:CS24, Death_data!T24)</f>
        <v>59</v>
      </c>
      <c r="V24" s="5">
        <f xml:space="preserve"> U24 - SUM(Lapse_data!CT24:DE24, Death_data!U24)</f>
        <v>58</v>
      </c>
      <c r="W24" s="5">
        <f xml:space="preserve"> V24 - SUM(Lapse_data!DF24:DQ24, Death_data!V24)</f>
        <v>58</v>
      </c>
    </row>
    <row r="25" spans="1:23" x14ac:dyDescent="0.35">
      <c r="A25" s="1">
        <f t="shared" si="0"/>
        <v>42705</v>
      </c>
      <c r="B25" s="5">
        <f>Inception_data!B25</f>
        <v>575</v>
      </c>
      <c r="C25" s="5">
        <f>B25-SUM(Lapse_data!B25,Death_data!B25)</f>
        <v>544</v>
      </c>
      <c r="D25" s="5">
        <f>C25-SUM(Lapse_data!C25,Death_data!C25)</f>
        <v>482</v>
      </c>
      <c r="E25" s="5">
        <f>D25-SUM(Lapse_data!D25,Death_data!D25)</f>
        <v>443</v>
      </c>
      <c r="F25" s="5">
        <f>E25-SUM(Lapse_data!E25,Death_data!E25)</f>
        <v>415</v>
      </c>
      <c r="G25" s="5">
        <f>F25-SUM(Lapse_data!F25,Death_data!F25)</f>
        <v>394</v>
      </c>
      <c r="H25" s="5">
        <f>G25-SUM(Lapse_data!G25,Death_data!G25)</f>
        <v>377</v>
      </c>
      <c r="I25" s="5">
        <f>H25-SUM(Lapse_data!H25,Death_data!H25)</f>
        <v>361</v>
      </c>
      <c r="J25" s="5">
        <f>I25-SUM(Lapse_data!I25,Death_data!I25)</f>
        <v>344</v>
      </c>
      <c r="K25" s="5">
        <f>J25-SUM(Lapse_data!J25,Death_data!J25)</f>
        <v>322</v>
      </c>
      <c r="L25" s="5">
        <f>K25-SUM(Lapse_data!K25,Death_data!K25)</f>
        <v>313</v>
      </c>
      <c r="M25" s="5">
        <f>L25-SUM(Lapse_data!L25,Death_data!L25)</f>
        <v>298</v>
      </c>
      <c r="N25" s="5">
        <f>M25-SUM(Lapse_data!M25,Death_data!M25)</f>
        <v>285</v>
      </c>
      <c r="O25" s="5">
        <f xml:space="preserve"> N25 - SUM(Lapse_data!N25:Y25, Death_data!N25)</f>
        <v>189</v>
      </c>
      <c r="P25" s="5">
        <f xml:space="preserve"> O25 - SUM(Lapse_data!Z25:AK25, Death_data!O25)</f>
        <v>145</v>
      </c>
      <c r="Q25" s="5">
        <f xml:space="preserve"> P25 - SUM(Lapse_data!AL25:AW25, Death_data!P25)</f>
        <v>117</v>
      </c>
      <c r="R25" s="5">
        <f xml:space="preserve"> Q25 - SUM(Lapse_data!AX25:BI25, Death_data!Q25)</f>
        <v>98</v>
      </c>
      <c r="S25" s="5">
        <f xml:space="preserve"> R25 - SUM(Lapse_data!BJ25:BU25, Death_data!R25)</f>
        <v>74</v>
      </c>
      <c r="T25" s="5">
        <f xml:space="preserve"> S25 - SUM(Lapse_data!BV25:CG25, Death_data!S25)</f>
        <v>59</v>
      </c>
      <c r="U25" s="5">
        <f xml:space="preserve"> T25 - SUM(Lapse_data!CH25:CS25, Death_data!T25)</f>
        <v>51</v>
      </c>
      <c r="V25" s="5">
        <f xml:space="preserve"> U25 - SUM(Lapse_data!CT25:DE25, Death_data!U25)</f>
        <v>51</v>
      </c>
      <c r="W25" s="5">
        <f xml:space="preserve"> V25 - SUM(Lapse_data!DF25:DQ25, Death_data!V25)</f>
        <v>51</v>
      </c>
    </row>
    <row r="26" spans="1:23" x14ac:dyDescent="0.35">
      <c r="A26" s="4">
        <f t="shared" si="0"/>
        <v>42736</v>
      </c>
      <c r="B26" s="5">
        <f>Inception_data!B26</f>
        <v>655</v>
      </c>
      <c r="C26" s="5">
        <f>B26-SUM(Lapse_data!B26,Death_data!B26)</f>
        <v>611</v>
      </c>
      <c r="D26" s="5">
        <f>C26-SUM(Lapse_data!C26,Death_data!C26)</f>
        <v>545</v>
      </c>
      <c r="E26" s="5">
        <f>D26-SUM(Lapse_data!D26,Death_data!D26)</f>
        <v>504</v>
      </c>
      <c r="F26" s="5">
        <f>E26-SUM(Lapse_data!E26,Death_data!E26)</f>
        <v>463</v>
      </c>
      <c r="G26" s="5">
        <f>F26-SUM(Lapse_data!F26,Death_data!F26)</f>
        <v>433</v>
      </c>
      <c r="H26" s="5">
        <f>G26-SUM(Lapse_data!G26,Death_data!G26)</f>
        <v>410</v>
      </c>
      <c r="I26" s="5">
        <f>H26-SUM(Lapse_data!H26,Death_data!H26)</f>
        <v>385</v>
      </c>
      <c r="J26" s="5">
        <f>I26-SUM(Lapse_data!I26,Death_data!I26)</f>
        <v>367</v>
      </c>
      <c r="K26" s="5">
        <f>J26-SUM(Lapse_data!J26,Death_data!J26)</f>
        <v>350</v>
      </c>
      <c r="L26" s="5">
        <f>K26-SUM(Lapse_data!K26,Death_data!K26)</f>
        <v>329</v>
      </c>
      <c r="M26" s="5">
        <f>L26-SUM(Lapse_data!L26,Death_data!L26)</f>
        <v>311</v>
      </c>
      <c r="N26" s="5">
        <f>M26-SUM(Lapse_data!M26,Death_data!M26)</f>
        <v>300</v>
      </c>
      <c r="O26" s="5">
        <f xml:space="preserve"> N26 - SUM(Lapse_data!N26:Y26, Death_data!N26)</f>
        <v>195</v>
      </c>
      <c r="P26" s="5">
        <f xml:space="preserve"> O26 - SUM(Lapse_data!Z26:AK26, Death_data!O26)</f>
        <v>142</v>
      </c>
      <c r="Q26" s="5">
        <f xml:space="preserve"> P26 - SUM(Lapse_data!AL26:AW26, Death_data!P26)</f>
        <v>118</v>
      </c>
      <c r="R26" s="5">
        <f xml:space="preserve"> Q26 - SUM(Lapse_data!AX26:BI26, Death_data!Q26)</f>
        <v>94</v>
      </c>
      <c r="S26" s="5">
        <f xml:space="preserve"> R26 - SUM(Lapse_data!BJ26:BU26, Death_data!R26)</f>
        <v>81</v>
      </c>
      <c r="T26" s="5">
        <f xml:space="preserve"> S26 - SUM(Lapse_data!BV26:CG26, Death_data!S26)</f>
        <v>62</v>
      </c>
      <c r="U26" s="5">
        <f xml:space="preserve"> T26 - SUM(Lapse_data!CH26:CS26, Death_data!T26)</f>
        <v>52</v>
      </c>
      <c r="V26" s="5">
        <f xml:space="preserve"> U26 - SUM(Lapse_data!CT26:DE26, Death_data!U26)</f>
        <v>52</v>
      </c>
      <c r="W26" s="5">
        <f xml:space="preserve"> V26 - SUM(Lapse_data!DF26:DQ26, Death_data!V26)</f>
        <v>52</v>
      </c>
    </row>
    <row r="27" spans="1:23" x14ac:dyDescent="0.35">
      <c r="A27" s="1">
        <f t="shared" si="0"/>
        <v>42767</v>
      </c>
      <c r="B27" s="5">
        <f>Inception_data!B27</f>
        <v>676</v>
      </c>
      <c r="C27" s="5">
        <f>B27-SUM(Lapse_data!B27,Death_data!B27)</f>
        <v>636</v>
      </c>
      <c r="D27" s="5">
        <f>C27-SUM(Lapse_data!C27,Death_data!C27)</f>
        <v>580</v>
      </c>
      <c r="E27" s="5">
        <f>D27-SUM(Lapse_data!D27,Death_data!D27)</f>
        <v>540</v>
      </c>
      <c r="F27" s="5">
        <f>E27-SUM(Lapse_data!E27,Death_data!E27)</f>
        <v>506</v>
      </c>
      <c r="G27" s="5">
        <f>F27-SUM(Lapse_data!F27,Death_data!F27)</f>
        <v>488</v>
      </c>
      <c r="H27" s="5">
        <f>G27-SUM(Lapse_data!G27,Death_data!G27)</f>
        <v>466</v>
      </c>
      <c r="I27" s="5">
        <f>H27-SUM(Lapse_data!H27,Death_data!H27)</f>
        <v>440</v>
      </c>
      <c r="J27" s="5">
        <f>I27-SUM(Lapse_data!I27,Death_data!I27)</f>
        <v>427</v>
      </c>
      <c r="K27" s="5">
        <f>J27-SUM(Lapse_data!J27,Death_data!J27)</f>
        <v>404</v>
      </c>
      <c r="L27" s="5">
        <f>K27-SUM(Lapse_data!K27,Death_data!K27)</f>
        <v>388</v>
      </c>
      <c r="M27" s="5">
        <f>L27-SUM(Lapse_data!L27,Death_data!L27)</f>
        <v>371</v>
      </c>
      <c r="N27" s="5">
        <f>M27-SUM(Lapse_data!M27,Death_data!M27)</f>
        <v>354</v>
      </c>
      <c r="O27" s="5">
        <f xml:space="preserve"> N27 - SUM(Lapse_data!N27:Y27, Death_data!N27)</f>
        <v>247</v>
      </c>
      <c r="P27" s="5">
        <f xml:space="preserve"> O27 - SUM(Lapse_data!Z27:AK27, Death_data!O27)</f>
        <v>180</v>
      </c>
      <c r="Q27" s="5">
        <f xml:space="preserve"> P27 - SUM(Lapse_data!AL27:AW27, Death_data!P27)</f>
        <v>144</v>
      </c>
      <c r="R27" s="5">
        <f xml:space="preserve"> Q27 - SUM(Lapse_data!AX27:BI27, Death_data!Q27)</f>
        <v>115</v>
      </c>
      <c r="S27" s="5">
        <f xml:space="preserve"> R27 - SUM(Lapse_data!BJ27:BU27, Death_data!R27)</f>
        <v>91</v>
      </c>
      <c r="T27" s="5">
        <f xml:space="preserve"> S27 - SUM(Lapse_data!BV27:CG27, Death_data!S27)</f>
        <v>77</v>
      </c>
      <c r="U27" s="5">
        <f xml:space="preserve"> T27 - SUM(Lapse_data!CH27:CS27, Death_data!T27)</f>
        <v>71</v>
      </c>
      <c r="V27" s="5">
        <f xml:space="preserve"> U27 - SUM(Lapse_data!CT27:DE27, Death_data!U27)</f>
        <v>71</v>
      </c>
      <c r="W27" s="5">
        <f xml:space="preserve"> V27 - SUM(Lapse_data!DF27:DQ27, Death_data!V27)</f>
        <v>71</v>
      </c>
    </row>
    <row r="28" spans="1:23" x14ac:dyDescent="0.35">
      <c r="A28" s="1">
        <f t="shared" si="0"/>
        <v>42795</v>
      </c>
      <c r="B28" s="5">
        <f>Inception_data!B28</f>
        <v>646</v>
      </c>
      <c r="C28" s="5">
        <f>B28-SUM(Lapse_data!B28,Death_data!B28)</f>
        <v>599</v>
      </c>
      <c r="D28" s="5">
        <f>C28-SUM(Lapse_data!C28,Death_data!C28)</f>
        <v>549</v>
      </c>
      <c r="E28" s="5">
        <f>D28-SUM(Lapse_data!D28,Death_data!D28)</f>
        <v>510</v>
      </c>
      <c r="F28" s="5">
        <f>E28-SUM(Lapse_data!E28,Death_data!E28)</f>
        <v>480</v>
      </c>
      <c r="G28" s="5">
        <f>F28-SUM(Lapse_data!F28,Death_data!F28)</f>
        <v>450</v>
      </c>
      <c r="H28" s="5">
        <f>G28-SUM(Lapse_data!G28,Death_data!G28)</f>
        <v>419</v>
      </c>
      <c r="I28" s="5">
        <f>H28-SUM(Lapse_data!H28,Death_data!H28)</f>
        <v>395</v>
      </c>
      <c r="J28" s="5">
        <f>I28-SUM(Lapse_data!I28,Death_data!I28)</f>
        <v>366</v>
      </c>
      <c r="K28" s="5">
        <f>J28-SUM(Lapse_data!J28,Death_data!J28)</f>
        <v>353</v>
      </c>
      <c r="L28" s="5">
        <f>K28-SUM(Lapse_data!K28,Death_data!K28)</f>
        <v>340</v>
      </c>
      <c r="M28" s="5">
        <f>L28-SUM(Lapse_data!L28,Death_data!L28)</f>
        <v>321</v>
      </c>
      <c r="N28" s="5">
        <f>M28-SUM(Lapse_data!M28,Death_data!M28)</f>
        <v>311</v>
      </c>
      <c r="O28" s="5">
        <f xml:space="preserve"> N28 - SUM(Lapse_data!N28:Y28, Death_data!N28)</f>
        <v>191</v>
      </c>
      <c r="P28" s="5">
        <f xml:space="preserve"> O28 - SUM(Lapse_data!Z28:AK28, Death_data!O28)</f>
        <v>137</v>
      </c>
      <c r="Q28" s="5">
        <f xml:space="preserve"> P28 - SUM(Lapse_data!AL28:AW28, Death_data!P28)</f>
        <v>105</v>
      </c>
      <c r="R28" s="5">
        <f xml:space="preserve"> Q28 - SUM(Lapse_data!AX28:BI28, Death_data!Q28)</f>
        <v>88</v>
      </c>
      <c r="S28" s="5">
        <f xml:space="preserve"> R28 - SUM(Lapse_data!BJ28:BU28, Death_data!R28)</f>
        <v>68</v>
      </c>
      <c r="T28" s="5">
        <f xml:space="preserve"> S28 - SUM(Lapse_data!BV28:CG28, Death_data!S28)</f>
        <v>57</v>
      </c>
      <c r="U28" s="5">
        <f xml:space="preserve"> T28 - SUM(Lapse_data!CH28:CS28, Death_data!T28)</f>
        <v>49</v>
      </c>
      <c r="V28" s="5">
        <f xml:space="preserve"> U28 - SUM(Lapse_data!CT28:DE28, Death_data!U28)</f>
        <v>49</v>
      </c>
      <c r="W28" s="5">
        <f xml:space="preserve"> V28 - SUM(Lapse_data!DF28:DQ28, Death_data!V28)</f>
        <v>49</v>
      </c>
    </row>
    <row r="29" spans="1:23" x14ac:dyDescent="0.35">
      <c r="A29" s="1">
        <f t="shared" si="0"/>
        <v>42826</v>
      </c>
      <c r="B29" s="5">
        <f>Inception_data!B29</f>
        <v>899</v>
      </c>
      <c r="C29" s="5">
        <f>B29-SUM(Lapse_data!B29,Death_data!B29)</f>
        <v>837</v>
      </c>
      <c r="D29" s="5">
        <f>C29-SUM(Lapse_data!C29,Death_data!C29)</f>
        <v>746</v>
      </c>
      <c r="E29" s="5">
        <f>D29-SUM(Lapse_data!D29,Death_data!D29)</f>
        <v>700</v>
      </c>
      <c r="F29" s="5">
        <f>E29-SUM(Lapse_data!E29,Death_data!E29)</f>
        <v>654</v>
      </c>
      <c r="G29" s="5">
        <f>F29-SUM(Lapse_data!F29,Death_data!F29)</f>
        <v>610</v>
      </c>
      <c r="H29" s="5">
        <f>G29-SUM(Lapse_data!G29,Death_data!G29)</f>
        <v>578</v>
      </c>
      <c r="I29" s="5">
        <f>H29-SUM(Lapse_data!H29,Death_data!H29)</f>
        <v>549</v>
      </c>
      <c r="J29" s="5">
        <f>I29-SUM(Lapse_data!I29,Death_data!I29)</f>
        <v>529</v>
      </c>
      <c r="K29" s="5">
        <f>J29-SUM(Lapse_data!J29,Death_data!J29)</f>
        <v>502</v>
      </c>
      <c r="L29" s="5">
        <f>K29-SUM(Lapse_data!K29,Death_data!K29)</f>
        <v>477</v>
      </c>
      <c r="M29" s="5">
        <f>L29-SUM(Lapse_data!L29,Death_data!L29)</f>
        <v>452</v>
      </c>
      <c r="N29" s="5">
        <f>M29-SUM(Lapse_data!M29,Death_data!M29)</f>
        <v>432</v>
      </c>
      <c r="O29" s="5">
        <f xml:space="preserve"> N29 - SUM(Lapse_data!N29:Y29, Death_data!N29)</f>
        <v>274</v>
      </c>
      <c r="P29" s="5">
        <f xml:space="preserve"> O29 - SUM(Lapse_data!Z29:AK29, Death_data!O29)</f>
        <v>195</v>
      </c>
      <c r="Q29" s="5">
        <f xml:space="preserve"> P29 - SUM(Lapse_data!AL29:AW29, Death_data!P29)</f>
        <v>159</v>
      </c>
      <c r="R29" s="5">
        <f xml:space="preserve"> Q29 - SUM(Lapse_data!AX29:BI29, Death_data!Q29)</f>
        <v>124</v>
      </c>
      <c r="S29" s="5">
        <f xml:space="preserve"> R29 - SUM(Lapse_data!BJ29:BU29, Death_data!R29)</f>
        <v>106</v>
      </c>
      <c r="T29" s="5">
        <f xml:space="preserve"> S29 - SUM(Lapse_data!BV29:CG29, Death_data!S29)</f>
        <v>94</v>
      </c>
      <c r="U29" s="5">
        <f xml:space="preserve"> T29 - SUM(Lapse_data!CH29:CS29, Death_data!T29)</f>
        <v>86</v>
      </c>
      <c r="V29" s="5">
        <f xml:space="preserve"> U29 - SUM(Lapse_data!CT29:DE29, Death_data!U29)</f>
        <v>86</v>
      </c>
      <c r="W29" s="5">
        <f xml:space="preserve"> V29 - SUM(Lapse_data!DF29:DQ29, Death_data!V29)</f>
        <v>86</v>
      </c>
    </row>
    <row r="30" spans="1:23" x14ac:dyDescent="0.35">
      <c r="A30" s="1">
        <f t="shared" si="0"/>
        <v>42856</v>
      </c>
      <c r="B30" s="5">
        <f>Inception_data!B30</f>
        <v>945</v>
      </c>
      <c r="C30" s="5">
        <f>B30-SUM(Lapse_data!B30,Death_data!B30)</f>
        <v>871</v>
      </c>
      <c r="D30" s="5">
        <f>C30-SUM(Lapse_data!C30,Death_data!C30)</f>
        <v>791</v>
      </c>
      <c r="E30" s="5">
        <f>D30-SUM(Lapse_data!D30,Death_data!D30)</f>
        <v>729</v>
      </c>
      <c r="F30" s="5">
        <f>E30-SUM(Lapse_data!E30,Death_data!E30)</f>
        <v>676</v>
      </c>
      <c r="G30" s="5">
        <f>F30-SUM(Lapse_data!F30,Death_data!F30)</f>
        <v>638</v>
      </c>
      <c r="H30" s="5">
        <f>G30-SUM(Lapse_data!G30,Death_data!G30)</f>
        <v>599</v>
      </c>
      <c r="I30" s="5">
        <f>H30-SUM(Lapse_data!H30,Death_data!H30)</f>
        <v>564</v>
      </c>
      <c r="J30" s="5">
        <f>I30-SUM(Lapse_data!I30,Death_data!I30)</f>
        <v>531</v>
      </c>
      <c r="K30" s="5">
        <f>J30-SUM(Lapse_data!J30,Death_data!J30)</f>
        <v>512</v>
      </c>
      <c r="L30" s="5">
        <f>K30-SUM(Lapse_data!K30,Death_data!K30)</f>
        <v>495</v>
      </c>
      <c r="M30" s="5">
        <f>L30-SUM(Lapse_data!L30,Death_data!L30)</f>
        <v>465</v>
      </c>
      <c r="N30" s="5">
        <f>M30-SUM(Lapse_data!M30,Death_data!M30)</f>
        <v>445</v>
      </c>
      <c r="O30" s="5">
        <f xml:space="preserve"> N30 - SUM(Lapse_data!N30:Y30, Death_data!N30)</f>
        <v>285</v>
      </c>
      <c r="P30" s="5">
        <f xml:space="preserve"> O30 - SUM(Lapse_data!Z30:AK30, Death_data!O30)</f>
        <v>205</v>
      </c>
      <c r="Q30" s="5">
        <f xml:space="preserve"> P30 - SUM(Lapse_data!AL30:AW30, Death_data!P30)</f>
        <v>150</v>
      </c>
      <c r="R30" s="5">
        <f xml:space="preserve"> Q30 - SUM(Lapse_data!AX30:BI30, Death_data!Q30)</f>
        <v>123</v>
      </c>
      <c r="S30" s="5">
        <f xml:space="preserve"> R30 - SUM(Lapse_data!BJ30:BU30, Death_data!R30)</f>
        <v>97</v>
      </c>
      <c r="T30" s="5">
        <f xml:space="preserve"> S30 - SUM(Lapse_data!BV30:CG30, Death_data!S30)</f>
        <v>81</v>
      </c>
      <c r="U30" s="5">
        <f xml:space="preserve"> T30 - SUM(Lapse_data!CH30:CS30, Death_data!T30)</f>
        <v>70</v>
      </c>
      <c r="V30" s="5">
        <f xml:space="preserve"> U30 - SUM(Lapse_data!CT30:DE30, Death_data!U30)</f>
        <v>70</v>
      </c>
      <c r="W30" s="5">
        <f xml:space="preserve"> V30 - SUM(Lapse_data!DF30:DQ30, Death_data!V30)</f>
        <v>70</v>
      </c>
    </row>
    <row r="31" spans="1:23" x14ac:dyDescent="0.35">
      <c r="A31" s="1">
        <f t="shared" si="0"/>
        <v>42887</v>
      </c>
      <c r="B31" s="5">
        <f>Inception_data!B31</f>
        <v>1085</v>
      </c>
      <c r="C31" s="5">
        <f>B31-SUM(Lapse_data!B31,Death_data!B31)</f>
        <v>1025</v>
      </c>
      <c r="D31" s="5">
        <f>C31-SUM(Lapse_data!C31,Death_data!C31)</f>
        <v>922</v>
      </c>
      <c r="E31" s="5">
        <f>D31-SUM(Lapse_data!D31,Death_data!D31)</f>
        <v>812</v>
      </c>
      <c r="F31" s="5">
        <f>E31-SUM(Lapse_data!E31,Death_data!E31)</f>
        <v>748</v>
      </c>
      <c r="G31" s="5">
        <f>F31-SUM(Lapse_data!F31,Death_data!F31)</f>
        <v>694</v>
      </c>
      <c r="H31" s="5">
        <f>G31-SUM(Lapse_data!G31,Death_data!G31)</f>
        <v>655</v>
      </c>
      <c r="I31" s="5">
        <f>H31-SUM(Lapse_data!H31,Death_data!H31)</f>
        <v>611</v>
      </c>
      <c r="J31" s="5">
        <f>I31-SUM(Lapse_data!I31,Death_data!I31)</f>
        <v>586</v>
      </c>
      <c r="K31" s="5">
        <f>J31-SUM(Lapse_data!J31,Death_data!J31)</f>
        <v>547</v>
      </c>
      <c r="L31" s="5">
        <f>K31-SUM(Lapse_data!K31,Death_data!K31)</f>
        <v>518</v>
      </c>
      <c r="M31" s="5">
        <f>L31-SUM(Lapse_data!L31,Death_data!L31)</f>
        <v>487</v>
      </c>
      <c r="N31" s="5">
        <f>M31-SUM(Lapse_data!M31,Death_data!M31)</f>
        <v>464</v>
      </c>
      <c r="O31" s="5">
        <f xml:space="preserve"> N31 - SUM(Lapse_data!N31:Y31, Death_data!N31)</f>
        <v>299</v>
      </c>
      <c r="P31" s="5">
        <f xml:space="preserve"> O31 - SUM(Lapse_data!Z31:AK31, Death_data!O31)</f>
        <v>215</v>
      </c>
      <c r="Q31" s="5">
        <f xml:space="preserve"> P31 - SUM(Lapse_data!AL31:AW31, Death_data!P31)</f>
        <v>158</v>
      </c>
      <c r="R31" s="5">
        <f xml:space="preserve"> Q31 - SUM(Lapse_data!AX31:BI31, Death_data!Q31)</f>
        <v>123</v>
      </c>
      <c r="S31" s="5">
        <f xml:space="preserve"> R31 - SUM(Lapse_data!BJ31:BU31, Death_data!R31)</f>
        <v>93</v>
      </c>
      <c r="T31" s="5">
        <f xml:space="preserve"> S31 - SUM(Lapse_data!BV31:CG31, Death_data!S31)</f>
        <v>76</v>
      </c>
      <c r="U31" s="5">
        <f xml:space="preserve"> T31 - SUM(Lapse_data!CH31:CS31, Death_data!T31)</f>
        <v>68</v>
      </c>
      <c r="V31" s="5">
        <f xml:space="preserve"> U31 - SUM(Lapse_data!CT31:DE31, Death_data!U31)</f>
        <v>68</v>
      </c>
      <c r="W31" s="5">
        <f xml:space="preserve"> V31 - SUM(Lapse_data!DF31:DQ31, Death_data!V31)</f>
        <v>68</v>
      </c>
    </row>
    <row r="32" spans="1:23" x14ac:dyDescent="0.35">
      <c r="A32" s="1">
        <f t="shared" si="0"/>
        <v>42917</v>
      </c>
      <c r="B32" s="5">
        <f>Inception_data!B32</f>
        <v>1281</v>
      </c>
      <c r="C32" s="5">
        <f>B32-SUM(Lapse_data!B32,Death_data!B32)</f>
        <v>1199</v>
      </c>
      <c r="D32" s="5">
        <f>C32-SUM(Lapse_data!C32,Death_data!C32)</f>
        <v>1049</v>
      </c>
      <c r="E32" s="5">
        <f>D32-SUM(Lapse_data!D32,Death_data!D32)</f>
        <v>902</v>
      </c>
      <c r="F32" s="5">
        <f>E32-SUM(Lapse_data!E32,Death_data!E32)</f>
        <v>798</v>
      </c>
      <c r="G32" s="5">
        <f>F32-SUM(Lapse_data!F32,Death_data!F32)</f>
        <v>739</v>
      </c>
      <c r="H32" s="5">
        <f>G32-SUM(Lapse_data!G32,Death_data!G32)</f>
        <v>692</v>
      </c>
      <c r="I32" s="5">
        <f>H32-SUM(Lapse_data!H32,Death_data!H32)</f>
        <v>646</v>
      </c>
      <c r="J32" s="5">
        <f>I32-SUM(Lapse_data!I32,Death_data!I32)</f>
        <v>603</v>
      </c>
      <c r="K32" s="5">
        <f>J32-SUM(Lapse_data!J32,Death_data!J32)</f>
        <v>575</v>
      </c>
      <c r="L32" s="5">
        <f>K32-SUM(Lapse_data!K32,Death_data!K32)</f>
        <v>533</v>
      </c>
      <c r="M32" s="5">
        <f>L32-SUM(Lapse_data!L32,Death_data!L32)</f>
        <v>507</v>
      </c>
      <c r="N32" s="5">
        <f>M32-SUM(Lapse_data!M32,Death_data!M32)</f>
        <v>480</v>
      </c>
      <c r="O32" s="5">
        <f xml:space="preserve"> N32 - SUM(Lapse_data!N32:Y32, Death_data!N32)</f>
        <v>289</v>
      </c>
      <c r="P32" s="5">
        <f xml:space="preserve"> O32 - SUM(Lapse_data!Z32:AK32, Death_data!O32)</f>
        <v>216</v>
      </c>
      <c r="Q32" s="5">
        <f xml:space="preserve"> P32 - SUM(Lapse_data!AL32:AW32, Death_data!P32)</f>
        <v>177</v>
      </c>
      <c r="R32" s="5">
        <f xml:space="preserve"> Q32 - SUM(Lapse_data!AX32:BI32, Death_data!Q32)</f>
        <v>153</v>
      </c>
      <c r="S32" s="5">
        <f xml:space="preserve"> R32 - SUM(Lapse_data!BJ32:BU32, Death_data!R32)</f>
        <v>133</v>
      </c>
      <c r="T32" s="5">
        <f xml:space="preserve"> S32 - SUM(Lapse_data!BV32:CG32, Death_data!S32)</f>
        <v>116</v>
      </c>
      <c r="U32" s="5">
        <f xml:space="preserve"> T32 - SUM(Lapse_data!CH32:CS32, Death_data!T32)</f>
        <v>110</v>
      </c>
      <c r="V32" s="5">
        <f xml:space="preserve"> U32 - SUM(Lapse_data!CT32:DE32, Death_data!U32)</f>
        <v>110</v>
      </c>
      <c r="W32" s="5">
        <f xml:space="preserve"> V32 - SUM(Lapse_data!DF32:DQ32, Death_data!V32)</f>
        <v>110</v>
      </c>
    </row>
    <row r="33" spans="1:23" x14ac:dyDescent="0.35">
      <c r="A33" s="1">
        <f t="shared" si="0"/>
        <v>42948</v>
      </c>
      <c r="B33" s="5">
        <f>Inception_data!B33</f>
        <v>795</v>
      </c>
      <c r="C33" s="5">
        <f>B33-SUM(Lapse_data!B33,Death_data!B33)</f>
        <v>744</v>
      </c>
      <c r="D33" s="5">
        <f>C33-SUM(Lapse_data!C33,Death_data!C33)</f>
        <v>632</v>
      </c>
      <c r="E33" s="5">
        <f>D33-SUM(Lapse_data!D33,Death_data!D33)</f>
        <v>559</v>
      </c>
      <c r="F33" s="5">
        <f>E33-SUM(Lapse_data!E33,Death_data!E33)</f>
        <v>475</v>
      </c>
      <c r="G33" s="5">
        <f>F33-SUM(Lapse_data!F33,Death_data!F33)</f>
        <v>433</v>
      </c>
      <c r="H33" s="5">
        <f>G33-SUM(Lapse_data!G33,Death_data!G33)</f>
        <v>402</v>
      </c>
      <c r="I33" s="5">
        <f>H33-SUM(Lapse_data!H33,Death_data!H33)</f>
        <v>383</v>
      </c>
      <c r="J33" s="5">
        <f>I33-SUM(Lapse_data!I33,Death_data!I33)</f>
        <v>363</v>
      </c>
      <c r="K33" s="5">
        <f>J33-SUM(Lapse_data!J33,Death_data!J33)</f>
        <v>341</v>
      </c>
      <c r="L33" s="5">
        <f>K33-SUM(Lapse_data!K33,Death_data!K33)</f>
        <v>323</v>
      </c>
      <c r="M33" s="5">
        <f>L33-SUM(Lapse_data!L33,Death_data!L33)</f>
        <v>298</v>
      </c>
      <c r="N33" s="5">
        <f>M33-SUM(Lapse_data!M33,Death_data!M33)</f>
        <v>273</v>
      </c>
      <c r="O33" s="5">
        <f xml:space="preserve"> N33 - SUM(Lapse_data!N33:Y33, Death_data!N33)</f>
        <v>156</v>
      </c>
      <c r="P33" s="5">
        <f xml:space="preserve"> O33 - SUM(Lapse_data!Z33:AK33, Death_data!O33)</f>
        <v>110</v>
      </c>
      <c r="Q33" s="5">
        <f xml:space="preserve"> P33 - SUM(Lapse_data!AL33:AW33, Death_data!P33)</f>
        <v>83</v>
      </c>
      <c r="R33" s="5">
        <f xml:space="preserve"> Q33 - SUM(Lapse_data!AX33:BI33, Death_data!Q33)</f>
        <v>63</v>
      </c>
      <c r="S33" s="5">
        <f xml:space="preserve"> R33 - SUM(Lapse_data!BJ33:BU33, Death_data!R33)</f>
        <v>49</v>
      </c>
      <c r="T33" s="5">
        <f xml:space="preserve"> S33 - SUM(Lapse_data!BV33:CG33, Death_data!S33)</f>
        <v>40</v>
      </c>
      <c r="U33" s="5">
        <f xml:space="preserve"> T33 - SUM(Lapse_data!CH33:CS33, Death_data!T33)</f>
        <v>38</v>
      </c>
      <c r="V33" s="5">
        <f xml:space="preserve"> U33 - SUM(Lapse_data!CT33:DE33, Death_data!U33)</f>
        <v>38</v>
      </c>
      <c r="W33" s="5">
        <f xml:space="preserve"> V33 - SUM(Lapse_data!DF33:DQ33, Death_data!V33)</f>
        <v>38</v>
      </c>
    </row>
    <row r="34" spans="1:23" x14ac:dyDescent="0.35">
      <c r="A34" s="1">
        <f t="shared" si="0"/>
        <v>42979</v>
      </c>
      <c r="B34" s="5">
        <f>Inception_data!B34</f>
        <v>979</v>
      </c>
      <c r="C34" s="5">
        <f>B34-SUM(Lapse_data!B34,Death_data!B34)</f>
        <v>922</v>
      </c>
      <c r="D34" s="5">
        <f>C34-SUM(Lapse_data!C34,Death_data!C34)</f>
        <v>806</v>
      </c>
      <c r="E34" s="5">
        <f>D34-SUM(Lapse_data!D34,Death_data!D34)</f>
        <v>723</v>
      </c>
      <c r="F34" s="5">
        <f>E34-SUM(Lapse_data!E34,Death_data!E34)</f>
        <v>623</v>
      </c>
      <c r="G34" s="5">
        <f>F34-SUM(Lapse_data!F34,Death_data!F34)</f>
        <v>564</v>
      </c>
      <c r="H34" s="5">
        <f>G34-SUM(Lapse_data!G34,Death_data!G34)</f>
        <v>517</v>
      </c>
      <c r="I34" s="5">
        <f>H34-SUM(Lapse_data!H34,Death_data!H34)</f>
        <v>485</v>
      </c>
      <c r="J34" s="5">
        <f>I34-SUM(Lapse_data!I34,Death_data!I34)</f>
        <v>460</v>
      </c>
      <c r="K34" s="5">
        <f>J34-SUM(Lapse_data!J34,Death_data!J34)</f>
        <v>440</v>
      </c>
      <c r="L34" s="5">
        <f>K34-SUM(Lapse_data!K34,Death_data!K34)</f>
        <v>418</v>
      </c>
      <c r="M34" s="5">
        <f>L34-SUM(Lapse_data!L34,Death_data!L34)</f>
        <v>394</v>
      </c>
      <c r="N34" s="5">
        <f>M34-SUM(Lapse_data!M34,Death_data!M34)</f>
        <v>378</v>
      </c>
      <c r="O34" s="5">
        <f xml:space="preserve"> N34 - SUM(Lapse_data!N34:Y34, Death_data!N34)</f>
        <v>207</v>
      </c>
      <c r="P34" s="5">
        <f xml:space="preserve"> O34 - SUM(Lapse_data!Z34:AK34, Death_data!O34)</f>
        <v>128</v>
      </c>
      <c r="Q34" s="5">
        <f xml:space="preserve"> P34 - SUM(Lapse_data!AL34:AW34, Death_data!P34)</f>
        <v>96</v>
      </c>
      <c r="R34" s="5">
        <f xml:space="preserve"> Q34 - SUM(Lapse_data!AX34:BI34, Death_data!Q34)</f>
        <v>72</v>
      </c>
      <c r="S34" s="5">
        <f xml:space="preserve"> R34 - SUM(Lapse_data!BJ34:BU34, Death_data!R34)</f>
        <v>61</v>
      </c>
      <c r="T34" s="5">
        <f xml:space="preserve"> S34 - SUM(Lapse_data!BV34:CG34, Death_data!S34)</f>
        <v>53</v>
      </c>
      <c r="U34" s="5">
        <f xml:space="preserve"> T34 - SUM(Lapse_data!CH34:CS34, Death_data!T34)</f>
        <v>50</v>
      </c>
      <c r="V34" s="5">
        <f xml:space="preserve"> U34 - SUM(Lapse_data!CT34:DE34, Death_data!U34)</f>
        <v>50</v>
      </c>
      <c r="W34" s="5">
        <f xml:space="preserve"> V34 - SUM(Lapse_data!DF34:DQ34, Death_data!V34)</f>
        <v>50</v>
      </c>
    </row>
    <row r="35" spans="1:23" x14ac:dyDescent="0.35">
      <c r="A35" s="1">
        <f t="shared" si="0"/>
        <v>43009</v>
      </c>
      <c r="B35" s="5">
        <f>Inception_data!B35</f>
        <v>1622</v>
      </c>
      <c r="C35" s="5">
        <f>B35-SUM(Lapse_data!B35,Death_data!B35)</f>
        <v>1506</v>
      </c>
      <c r="D35" s="5">
        <f>C35-SUM(Lapse_data!C35,Death_data!C35)</f>
        <v>1301</v>
      </c>
      <c r="E35" s="5">
        <f>D35-SUM(Lapse_data!D35,Death_data!D35)</f>
        <v>1146</v>
      </c>
      <c r="F35" s="5">
        <f>E35-SUM(Lapse_data!E35,Death_data!E35)</f>
        <v>993</v>
      </c>
      <c r="G35" s="5">
        <f>F35-SUM(Lapse_data!F35,Death_data!F35)</f>
        <v>924</v>
      </c>
      <c r="H35" s="5">
        <f>G35-SUM(Lapse_data!G35,Death_data!G35)</f>
        <v>857</v>
      </c>
      <c r="I35" s="5">
        <f>H35-SUM(Lapse_data!H35,Death_data!H35)</f>
        <v>806</v>
      </c>
      <c r="J35" s="5">
        <f>I35-SUM(Lapse_data!I35,Death_data!I35)</f>
        <v>760</v>
      </c>
      <c r="K35" s="5">
        <f>J35-SUM(Lapse_data!J35,Death_data!J35)</f>
        <v>729</v>
      </c>
      <c r="L35" s="5">
        <f>K35-SUM(Lapse_data!K35,Death_data!K35)</f>
        <v>676</v>
      </c>
      <c r="M35" s="5">
        <f>L35-SUM(Lapse_data!L35,Death_data!L35)</f>
        <v>632</v>
      </c>
      <c r="N35" s="5">
        <f>M35-SUM(Lapse_data!M35,Death_data!M35)</f>
        <v>591</v>
      </c>
      <c r="O35" s="5">
        <f xml:space="preserve"> N35 - SUM(Lapse_data!N35:Y35, Death_data!N35)</f>
        <v>332</v>
      </c>
      <c r="P35" s="5">
        <f xml:space="preserve"> O35 - SUM(Lapse_data!Z35:AK35, Death_data!O35)</f>
        <v>227</v>
      </c>
      <c r="Q35" s="5">
        <f xml:space="preserve"> P35 - SUM(Lapse_data!AL35:AW35, Death_data!P35)</f>
        <v>170</v>
      </c>
      <c r="R35" s="5">
        <f xml:space="preserve"> Q35 - SUM(Lapse_data!AX35:BI35, Death_data!Q35)</f>
        <v>135</v>
      </c>
      <c r="S35" s="5">
        <f xml:space="preserve"> R35 - SUM(Lapse_data!BJ35:BU35, Death_data!R35)</f>
        <v>105</v>
      </c>
      <c r="T35" s="5">
        <f xml:space="preserve"> S35 - SUM(Lapse_data!BV35:CG35, Death_data!S35)</f>
        <v>95</v>
      </c>
      <c r="U35" s="5">
        <f xml:space="preserve"> T35 - SUM(Lapse_data!CH35:CS35, Death_data!T35)</f>
        <v>90</v>
      </c>
      <c r="V35" s="5">
        <f xml:space="preserve"> U35 - SUM(Lapse_data!CT35:DE35, Death_data!U35)</f>
        <v>90</v>
      </c>
      <c r="W35" s="5">
        <f xml:space="preserve"> V35 - SUM(Lapse_data!DF35:DQ35, Death_data!V35)</f>
        <v>90</v>
      </c>
    </row>
    <row r="36" spans="1:23" x14ac:dyDescent="0.35">
      <c r="A36" s="1">
        <f t="shared" si="0"/>
        <v>43040</v>
      </c>
      <c r="B36" s="5">
        <f>Inception_data!B36</f>
        <v>1446</v>
      </c>
      <c r="C36" s="5">
        <f>B36-SUM(Lapse_data!B36,Death_data!B36)</f>
        <v>1348</v>
      </c>
      <c r="D36" s="5">
        <f>C36-SUM(Lapse_data!C36,Death_data!C36)</f>
        <v>1188</v>
      </c>
      <c r="E36" s="5">
        <f>D36-SUM(Lapse_data!D36,Death_data!D36)</f>
        <v>1044</v>
      </c>
      <c r="F36" s="5">
        <f>E36-SUM(Lapse_data!E36,Death_data!E36)</f>
        <v>908</v>
      </c>
      <c r="G36" s="5">
        <f>F36-SUM(Lapse_data!F36,Death_data!F36)</f>
        <v>828</v>
      </c>
      <c r="H36" s="5">
        <f>G36-SUM(Lapse_data!G36,Death_data!G36)</f>
        <v>785</v>
      </c>
      <c r="I36" s="5">
        <f>H36-SUM(Lapse_data!H36,Death_data!H36)</f>
        <v>733</v>
      </c>
      <c r="J36" s="5">
        <f>I36-SUM(Lapse_data!I36,Death_data!I36)</f>
        <v>692</v>
      </c>
      <c r="K36" s="5">
        <f>J36-SUM(Lapse_data!J36,Death_data!J36)</f>
        <v>656</v>
      </c>
      <c r="L36" s="5">
        <f>K36-SUM(Lapse_data!K36,Death_data!K36)</f>
        <v>615</v>
      </c>
      <c r="M36" s="5">
        <f>L36-SUM(Lapse_data!L36,Death_data!L36)</f>
        <v>580</v>
      </c>
      <c r="N36" s="5">
        <f>M36-SUM(Lapse_data!M36,Death_data!M36)</f>
        <v>550</v>
      </c>
      <c r="O36" s="5">
        <f xml:space="preserve"> N36 - SUM(Lapse_data!N36:Y36, Death_data!N36)</f>
        <v>346</v>
      </c>
      <c r="P36" s="5">
        <f xml:space="preserve"> O36 - SUM(Lapse_data!Z36:AK36, Death_data!O36)</f>
        <v>250</v>
      </c>
      <c r="Q36" s="5">
        <f xml:space="preserve"> P36 - SUM(Lapse_data!AL36:AW36, Death_data!P36)</f>
        <v>186</v>
      </c>
      <c r="R36" s="5">
        <f xml:space="preserve"> Q36 - SUM(Lapse_data!AX36:BI36, Death_data!Q36)</f>
        <v>152</v>
      </c>
      <c r="S36" s="5">
        <f xml:space="preserve"> R36 - SUM(Lapse_data!BJ36:BU36, Death_data!R36)</f>
        <v>122</v>
      </c>
      <c r="T36" s="5">
        <f xml:space="preserve"> S36 - SUM(Lapse_data!BV36:CG36, Death_data!S36)</f>
        <v>101</v>
      </c>
      <c r="U36" s="5">
        <f xml:space="preserve"> T36 - SUM(Lapse_data!CH36:CS36, Death_data!T36)</f>
        <v>97</v>
      </c>
      <c r="V36" s="5">
        <f xml:space="preserve"> U36 - SUM(Lapse_data!CT36:DE36, Death_data!U36)</f>
        <v>97</v>
      </c>
      <c r="W36" s="5">
        <f xml:space="preserve"> V36 - SUM(Lapse_data!DF36:DQ36, Death_data!V36)</f>
        <v>97</v>
      </c>
    </row>
    <row r="37" spans="1:23" x14ac:dyDescent="0.35">
      <c r="A37" s="1">
        <f t="shared" si="0"/>
        <v>43070</v>
      </c>
      <c r="B37" s="5">
        <f>Inception_data!B37</f>
        <v>1414</v>
      </c>
      <c r="C37" s="5">
        <f>B37-SUM(Lapse_data!B37,Death_data!B37)</f>
        <v>1320</v>
      </c>
      <c r="D37" s="5">
        <f>C37-SUM(Lapse_data!C37,Death_data!C37)</f>
        <v>1155</v>
      </c>
      <c r="E37" s="5">
        <f>D37-SUM(Lapse_data!D37,Death_data!D37)</f>
        <v>980</v>
      </c>
      <c r="F37" s="5">
        <f>E37-SUM(Lapse_data!E37,Death_data!E37)</f>
        <v>892</v>
      </c>
      <c r="G37" s="5">
        <f>F37-SUM(Lapse_data!F37,Death_data!F37)</f>
        <v>827</v>
      </c>
      <c r="H37" s="5">
        <f>G37-SUM(Lapse_data!G37,Death_data!G37)</f>
        <v>772</v>
      </c>
      <c r="I37" s="5">
        <f>H37-SUM(Lapse_data!H37,Death_data!H37)</f>
        <v>724</v>
      </c>
      <c r="J37" s="5">
        <f>I37-SUM(Lapse_data!I37,Death_data!I37)</f>
        <v>671</v>
      </c>
      <c r="K37" s="5">
        <f>J37-SUM(Lapse_data!J37,Death_data!J37)</f>
        <v>638</v>
      </c>
      <c r="L37" s="5">
        <f>K37-SUM(Lapse_data!K37,Death_data!K37)</f>
        <v>599</v>
      </c>
      <c r="M37" s="5">
        <f>L37-SUM(Lapse_data!L37,Death_data!L37)</f>
        <v>570</v>
      </c>
      <c r="N37" s="5">
        <f>M37-SUM(Lapse_data!M37,Death_data!M37)</f>
        <v>538</v>
      </c>
      <c r="O37" s="5">
        <f xml:space="preserve"> N37 - SUM(Lapse_data!N37:Y37, Death_data!N37)</f>
        <v>327</v>
      </c>
      <c r="P37" s="5">
        <f xml:space="preserve"> O37 - SUM(Lapse_data!Z37:AK37, Death_data!O37)</f>
        <v>232</v>
      </c>
      <c r="Q37" s="5">
        <f xml:space="preserve"> P37 - SUM(Lapse_data!AL37:AW37, Death_data!P37)</f>
        <v>174</v>
      </c>
      <c r="R37" s="5">
        <f xml:space="preserve"> Q37 - SUM(Lapse_data!AX37:BI37, Death_data!Q37)</f>
        <v>137</v>
      </c>
      <c r="S37" s="5">
        <f xml:space="preserve"> R37 - SUM(Lapse_data!BJ37:BU37, Death_data!R37)</f>
        <v>116</v>
      </c>
      <c r="T37" s="5">
        <f xml:space="preserve"> S37 - SUM(Lapse_data!BV37:CG37, Death_data!S37)</f>
        <v>91</v>
      </c>
      <c r="U37" s="5">
        <f xml:space="preserve"> T37 - SUM(Lapse_data!CH37:CS37, Death_data!T37)</f>
        <v>90</v>
      </c>
      <c r="V37" s="5">
        <f xml:space="preserve"> U37 - SUM(Lapse_data!CT37:DE37, Death_data!U37)</f>
        <v>90</v>
      </c>
      <c r="W37" s="5">
        <f xml:space="preserve"> V37 - SUM(Lapse_data!DF37:DQ37, Death_data!V37)</f>
        <v>90</v>
      </c>
    </row>
    <row r="38" spans="1:23" x14ac:dyDescent="0.35">
      <c r="A38" s="4">
        <f t="shared" si="0"/>
        <v>43101</v>
      </c>
      <c r="B38" s="5">
        <f>Inception_data!B38</f>
        <v>1475</v>
      </c>
      <c r="C38" s="5">
        <f>B38-SUM(Lapse_data!B38,Death_data!B38)</f>
        <v>1372</v>
      </c>
      <c r="D38" s="5">
        <f>C38-SUM(Lapse_data!C38,Death_data!C38)</f>
        <v>1138</v>
      </c>
      <c r="E38" s="5">
        <f>D38-SUM(Lapse_data!D38,Death_data!D38)</f>
        <v>987</v>
      </c>
      <c r="F38" s="5">
        <f>E38-SUM(Lapse_data!E38,Death_data!E38)</f>
        <v>870</v>
      </c>
      <c r="G38" s="5">
        <f>F38-SUM(Lapse_data!F38,Death_data!F38)</f>
        <v>818</v>
      </c>
      <c r="H38" s="5">
        <f>G38-SUM(Lapse_data!G38,Death_data!G38)</f>
        <v>757</v>
      </c>
      <c r="I38" s="5">
        <f>H38-SUM(Lapse_data!H38,Death_data!H38)</f>
        <v>712</v>
      </c>
      <c r="J38" s="5">
        <f>I38-SUM(Lapse_data!I38,Death_data!I38)</f>
        <v>645</v>
      </c>
      <c r="K38" s="5">
        <f>J38-SUM(Lapse_data!J38,Death_data!J38)</f>
        <v>604</v>
      </c>
      <c r="L38" s="5">
        <f>K38-SUM(Lapse_data!K38,Death_data!K38)</f>
        <v>572</v>
      </c>
      <c r="M38" s="5">
        <f>L38-SUM(Lapse_data!L38,Death_data!L38)</f>
        <v>536</v>
      </c>
      <c r="N38" s="5">
        <f>M38-SUM(Lapse_data!M38,Death_data!M38)</f>
        <v>505</v>
      </c>
      <c r="O38" s="5">
        <f xml:space="preserve"> N38 - SUM(Lapse_data!N38:Y38, Death_data!N38)</f>
        <v>298</v>
      </c>
      <c r="P38" s="5">
        <f xml:space="preserve"> O38 - SUM(Lapse_data!Z38:AK38, Death_data!O38)</f>
        <v>226</v>
      </c>
      <c r="Q38" s="5">
        <f xml:space="preserve"> P38 - SUM(Lapse_data!AL38:AW38, Death_data!P38)</f>
        <v>180</v>
      </c>
      <c r="R38" s="5">
        <f xml:space="preserve"> Q38 - SUM(Lapse_data!AX38:BI38, Death_data!Q38)</f>
        <v>143</v>
      </c>
      <c r="S38" s="5">
        <f xml:space="preserve"> R38 - SUM(Lapse_data!BJ38:BU38, Death_data!R38)</f>
        <v>118</v>
      </c>
      <c r="T38" s="5">
        <f xml:space="preserve"> S38 - SUM(Lapse_data!BV38:CG38, Death_data!S38)</f>
        <v>103</v>
      </c>
      <c r="U38" s="5">
        <f xml:space="preserve"> T38 - SUM(Lapse_data!CH38:CS38, Death_data!T38)</f>
        <v>103</v>
      </c>
      <c r="V38" s="5">
        <f xml:space="preserve"> U38 - SUM(Lapse_data!CT38:DE38, Death_data!U38)</f>
        <v>103</v>
      </c>
      <c r="W38" s="5">
        <f xml:space="preserve"> V38 - SUM(Lapse_data!DF38:DQ38, Death_data!V38)</f>
        <v>103</v>
      </c>
    </row>
    <row r="39" spans="1:23" x14ac:dyDescent="0.35">
      <c r="A39" s="1">
        <f t="shared" si="0"/>
        <v>43132</v>
      </c>
      <c r="B39" s="5">
        <f>Inception_data!B39</f>
        <v>1541</v>
      </c>
      <c r="C39" s="5">
        <f>B39-SUM(Lapse_data!B39,Death_data!B39)</f>
        <v>1430</v>
      </c>
      <c r="D39" s="5">
        <f>C39-SUM(Lapse_data!C39,Death_data!C39)</f>
        <v>1246</v>
      </c>
      <c r="E39" s="5">
        <f>D39-SUM(Lapse_data!D39,Death_data!D39)</f>
        <v>1106</v>
      </c>
      <c r="F39" s="5">
        <f>E39-SUM(Lapse_data!E39,Death_data!E39)</f>
        <v>1001</v>
      </c>
      <c r="G39" s="5">
        <f>F39-SUM(Lapse_data!F39,Death_data!F39)</f>
        <v>936</v>
      </c>
      <c r="H39" s="5">
        <f>G39-SUM(Lapse_data!G39,Death_data!G39)</f>
        <v>856</v>
      </c>
      <c r="I39" s="5">
        <f>H39-SUM(Lapse_data!H39,Death_data!H39)</f>
        <v>805</v>
      </c>
      <c r="J39" s="5">
        <f>I39-SUM(Lapse_data!I39,Death_data!I39)</f>
        <v>753</v>
      </c>
      <c r="K39" s="5">
        <f>J39-SUM(Lapse_data!J39,Death_data!J39)</f>
        <v>705</v>
      </c>
      <c r="L39" s="5">
        <f>K39-SUM(Lapse_data!K39,Death_data!K39)</f>
        <v>653</v>
      </c>
      <c r="M39" s="5">
        <f>L39-SUM(Lapse_data!L39,Death_data!L39)</f>
        <v>622</v>
      </c>
      <c r="N39" s="5">
        <f>M39-SUM(Lapse_data!M39,Death_data!M39)</f>
        <v>587</v>
      </c>
      <c r="O39" s="5">
        <f xml:space="preserve"> N39 - SUM(Lapse_data!N39:Y39, Death_data!N39)</f>
        <v>351</v>
      </c>
      <c r="P39" s="5">
        <f xml:space="preserve"> O39 - SUM(Lapse_data!Z39:AK39, Death_data!O39)</f>
        <v>244</v>
      </c>
      <c r="Q39" s="5">
        <f xml:space="preserve"> P39 - SUM(Lapse_data!AL39:AW39, Death_data!P39)</f>
        <v>183</v>
      </c>
      <c r="R39" s="5">
        <f xml:space="preserve"> Q39 - SUM(Lapse_data!AX39:BI39, Death_data!Q39)</f>
        <v>146</v>
      </c>
      <c r="S39" s="5">
        <f xml:space="preserve"> R39 - SUM(Lapse_data!BJ39:BU39, Death_data!R39)</f>
        <v>119</v>
      </c>
      <c r="T39" s="5">
        <f xml:space="preserve"> S39 - SUM(Lapse_data!BV39:CG39, Death_data!S39)</f>
        <v>100</v>
      </c>
      <c r="U39" s="5">
        <f xml:space="preserve"> T39 - SUM(Lapse_data!CH39:CS39, Death_data!T39)</f>
        <v>100</v>
      </c>
      <c r="V39" s="5">
        <f xml:space="preserve"> U39 - SUM(Lapse_data!CT39:DE39, Death_data!U39)</f>
        <v>100</v>
      </c>
      <c r="W39" s="5">
        <f xml:space="preserve"> V39 - SUM(Lapse_data!DF39:DQ39, Death_data!V39)</f>
        <v>100</v>
      </c>
    </row>
    <row r="40" spans="1:23" x14ac:dyDescent="0.35">
      <c r="A40" s="1">
        <f t="shared" si="0"/>
        <v>43160</v>
      </c>
      <c r="B40" s="5">
        <f>Inception_data!B40</f>
        <v>1614</v>
      </c>
      <c r="C40" s="5">
        <f>B40-SUM(Lapse_data!B40,Death_data!B40)</f>
        <v>1514</v>
      </c>
      <c r="D40" s="5">
        <f>C40-SUM(Lapse_data!C40,Death_data!C40)</f>
        <v>1295</v>
      </c>
      <c r="E40" s="5">
        <f>D40-SUM(Lapse_data!D40,Death_data!D40)</f>
        <v>1139</v>
      </c>
      <c r="F40" s="5">
        <f>E40-SUM(Lapse_data!E40,Death_data!E40)</f>
        <v>1030</v>
      </c>
      <c r="G40" s="5">
        <f>F40-SUM(Lapse_data!F40,Death_data!F40)</f>
        <v>959</v>
      </c>
      <c r="H40" s="5">
        <f>G40-SUM(Lapse_data!G40,Death_data!G40)</f>
        <v>889</v>
      </c>
      <c r="I40" s="5">
        <f>H40-SUM(Lapse_data!H40,Death_data!H40)</f>
        <v>815</v>
      </c>
      <c r="J40" s="5">
        <f>I40-SUM(Lapse_data!I40,Death_data!I40)</f>
        <v>758</v>
      </c>
      <c r="K40" s="5">
        <f>J40-SUM(Lapse_data!J40,Death_data!J40)</f>
        <v>718</v>
      </c>
      <c r="L40" s="5">
        <f>K40-SUM(Lapse_data!K40,Death_data!K40)</f>
        <v>686</v>
      </c>
      <c r="M40" s="5">
        <f>L40-SUM(Lapse_data!L40,Death_data!L40)</f>
        <v>646</v>
      </c>
      <c r="N40" s="5">
        <f>M40-SUM(Lapse_data!M40,Death_data!M40)</f>
        <v>614</v>
      </c>
      <c r="O40" s="5">
        <f xml:space="preserve"> N40 - SUM(Lapse_data!N40:Y40, Death_data!N40)</f>
        <v>360</v>
      </c>
      <c r="P40" s="5">
        <f xml:space="preserve"> O40 - SUM(Lapse_data!Z40:AK40, Death_data!O40)</f>
        <v>253</v>
      </c>
      <c r="Q40" s="5">
        <f xml:space="preserve"> P40 - SUM(Lapse_data!AL40:AW40, Death_data!P40)</f>
        <v>185</v>
      </c>
      <c r="R40" s="5">
        <f xml:space="preserve"> Q40 - SUM(Lapse_data!AX40:BI40, Death_data!Q40)</f>
        <v>148</v>
      </c>
      <c r="S40" s="5">
        <f xml:space="preserve"> R40 - SUM(Lapse_data!BJ40:BU40, Death_data!R40)</f>
        <v>124</v>
      </c>
      <c r="T40" s="5">
        <f xml:space="preserve"> S40 - SUM(Lapse_data!BV40:CG40, Death_data!S40)</f>
        <v>112</v>
      </c>
      <c r="U40" s="5">
        <f xml:space="preserve"> T40 - SUM(Lapse_data!CH40:CS40, Death_data!T40)</f>
        <v>112</v>
      </c>
      <c r="V40" s="5">
        <f xml:space="preserve"> U40 - SUM(Lapse_data!CT40:DE40, Death_data!U40)</f>
        <v>112</v>
      </c>
      <c r="W40" s="5">
        <f xml:space="preserve"> V40 - SUM(Lapse_data!DF40:DQ40, Death_data!V40)</f>
        <v>112</v>
      </c>
    </row>
    <row r="41" spans="1:23" x14ac:dyDescent="0.35">
      <c r="A41" s="1">
        <f t="shared" si="0"/>
        <v>43191</v>
      </c>
      <c r="B41" s="5">
        <f>Inception_data!B41</f>
        <v>1635</v>
      </c>
      <c r="C41" s="5">
        <f>B41-SUM(Lapse_data!B41,Death_data!B41)</f>
        <v>1531</v>
      </c>
      <c r="D41" s="5">
        <f>C41-SUM(Lapse_data!C41,Death_data!C41)</f>
        <v>1322</v>
      </c>
      <c r="E41" s="5">
        <f>D41-SUM(Lapse_data!D41,Death_data!D41)</f>
        <v>1154</v>
      </c>
      <c r="F41" s="5">
        <f>E41-SUM(Lapse_data!E41,Death_data!E41)</f>
        <v>1013</v>
      </c>
      <c r="G41" s="5">
        <f>F41-SUM(Lapse_data!F41,Death_data!F41)</f>
        <v>935</v>
      </c>
      <c r="H41" s="5">
        <f>G41-SUM(Lapse_data!G41,Death_data!G41)</f>
        <v>864</v>
      </c>
      <c r="I41" s="5">
        <f>H41-SUM(Lapse_data!H41,Death_data!H41)</f>
        <v>794</v>
      </c>
      <c r="J41" s="5">
        <f>I41-SUM(Lapse_data!I41,Death_data!I41)</f>
        <v>752</v>
      </c>
      <c r="K41" s="5">
        <f>J41-SUM(Lapse_data!J41,Death_data!J41)</f>
        <v>721</v>
      </c>
      <c r="L41" s="5">
        <f>K41-SUM(Lapse_data!K41,Death_data!K41)</f>
        <v>678</v>
      </c>
      <c r="M41" s="5">
        <f>L41-SUM(Lapse_data!L41,Death_data!L41)</f>
        <v>649</v>
      </c>
      <c r="N41" s="5">
        <f>M41-SUM(Lapse_data!M41,Death_data!M41)</f>
        <v>605</v>
      </c>
      <c r="O41" s="5">
        <f xml:space="preserve"> N41 - SUM(Lapse_data!N41:Y41, Death_data!N41)</f>
        <v>342</v>
      </c>
      <c r="P41" s="5">
        <f xml:space="preserve"> O41 - SUM(Lapse_data!Z41:AK41, Death_data!O41)</f>
        <v>249</v>
      </c>
      <c r="Q41" s="5">
        <f xml:space="preserve"> P41 - SUM(Lapse_data!AL41:AW41, Death_data!P41)</f>
        <v>189</v>
      </c>
      <c r="R41" s="5">
        <f xml:space="preserve"> Q41 - SUM(Lapse_data!AX41:BI41, Death_data!Q41)</f>
        <v>143</v>
      </c>
      <c r="S41" s="5">
        <f xml:space="preserve"> R41 - SUM(Lapse_data!BJ41:BU41, Death_data!R41)</f>
        <v>116</v>
      </c>
      <c r="T41" s="5">
        <f xml:space="preserve"> S41 - SUM(Lapse_data!BV41:CG41, Death_data!S41)</f>
        <v>108</v>
      </c>
      <c r="U41" s="5">
        <f xml:space="preserve"> T41 - SUM(Lapse_data!CH41:CS41, Death_data!T41)</f>
        <v>108</v>
      </c>
      <c r="V41" s="5">
        <f xml:space="preserve"> U41 - SUM(Lapse_data!CT41:DE41, Death_data!U41)</f>
        <v>108</v>
      </c>
      <c r="W41" s="5">
        <f xml:space="preserve"> V41 - SUM(Lapse_data!DF41:DQ41, Death_data!V41)</f>
        <v>108</v>
      </c>
    </row>
    <row r="42" spans="1:23" x14ac:dyDescent="0.35">
      <c r="A42" s="1">
        <f t="shared" si="0"/>
        <v>43221</v>
      </c>
      <c r="B42" s="5">
        <f>Inception_data!B42</f>
        <v>1374</v>
      </c>
      <c r="C42" s="5">
        <f>B42-SUM(Lapse_data!B42,Death_data!B42)</f>
        <v>1264</v>
      </c>
      <c r="D42" s="5">
        <f>C42-SUM(Lapse_data!C42,Death_data!C42)</f>
        <v>1074</v>
      </c>
      <c r="E42" s="5">
        <f>D42-SUM(Lapse_data!D42,Death_data!D42)</f>
        <v>917</v>
      </c>
      <c r="F42" s="5">
        <f>E42-SUM(Lapse_data!E42,Death_data!E42)</f>
        <v>821</v>
      </c>
      <c r="G42" s="5">
        <f>F42-SUM(Lapse_data!F42,Death_data!F42)</f>
        <v>761</v>
      </c>
      <c r="H42" s="5">
        <f>G42-SUM(Lapse_data!G42,Death_data!G42)</f>
        <v>703</v>
      </c>
      <c r="I42" s="5">
        <f>H42-SUM(Lapse_data!H42,Death_data!H42)</f>
        <v>651</v>
      </c>
      <c r="J42" s="5">
        <f>I42-SUM(Lapse_data!I42,Death_data!I42)</f>
        <v>608</v>
      </c>
      <c r="K42" s="5">
        <f>J42-SUM(Lapse_data!J42,Death_data!J42)</f>
        <v>569</v>
      </c>
      <c r="L42" s="5">
        <f>K42-SUM(Lapse_data!K42,Death_data!K42)</f>
        <v>538</v>
      </c>
      <c r="M42" s="5">
        <f>L42-SUM(Lapse_data!L42,Death_data!L42)</f>
        <v>507</v>
      </c>
      <c r="N42" s="5">
        <f>M42-SUM(Lapse_data!M42,Death_data!M42)</f>
        <v>476</v>
      </c>
      <c r="O42" s="5">
        <f xml:space="preserve"> N42 - SUM(Lapse_data!N42:Y42, Death_data!N42)</f>
        <v>277</v>
      </c>
      <c r="P42" s="5">
        <f xml:space="preserve"> O42 - SUM(Lapse_data!Z42:AK42, Death_data!O42)</f>
        <v>193</v>
      </c>
      <c r="Q42" s="5">
        <f xml:space="preserve"> P42 - SUM(Lapse_data!AL42:AW42, Death_data!P42)</f>
        <v>139</v>
      </c>
      <c r="R42" s="5">
        <f xml:space="preserve"> Q42 - SUM(Lapse_data!AX42:BI42, Death_data!Q42)</f>
        <v>98</v>
      </c>
      <c r="S42" s="5">
        <f xml:space="preserve"> R42 - SUM(Lapse_data!BJ42:BU42, Death_data!R42)</f>
        <v>71</v>
      </c>
      <c r="T42" s="5">
        <f xml:space="preserve"> S42 - SUM(Lapse_data!BV42:CG42, Death_data!S42)</f>
        <v>63</v>
      </c>
      <c r="U42" s="5">
        <f xml:space="preserve"> T42 - SUM(Lapse_data!CH42:CS42, Death_data!T42)</f>
        <v>63</v>
      </c>
      <c r="V42" s="5">
        <f xml:space="preserve"> U42 - SUM(Lapse_data!CT42:DE42, Death_data!U42)</f>
        <v>63</v>
      </c>
      <c r="W42" s="5">
        <f xml:space="preserve"> V42 - SUM(Lapse_data!DF42:DQ42, Death_data!V42)</f>
        <v>63</v>
      </c>
    </row>
    <row r="43" spans="1:23" x14ac:dyDescent="0.35">
      <c r="A43" s="1">
        <f t="shared" si="0"/>
        <v>43252</v>
      </c>
      <c r="B43" s="5">
        <f>Inception_data!B43</f>
        <v>1405</v>
      </c>
      <c r="C43" s="5">
        <f>B43-SUM(Lapse_data!B43,Death_data!B43)</f>
        <v>1319</v>
      </c>
      <c r="D43" s="5">
        <f>C43-SUM(Lapse_data!C43,Death_data!C43)</f>
        <v>1098</v>
      </c>
      <c r="E43" s="5">
        <f>D43-SUM(Lapse_data!D43,Death_data!D43)</f>
        <v>904</v>
      </c>
      <c r="F43" s="5">
        <f>E43-SUM(Lapse_data!E43,Death_data!E43)</f>
        <v>809</v>
      </c>
      <c r="G43" s="5">
        <f>F43-SUM(Lapse_data!F43,Death_data!F43)</f>
        <v>750</v>
      </c>
      <c r="H43" s="5">
        <f>G43-SUM(Lapse_data!G43,Death_data!G43)</f>
        <v>687</v>
      </c>
      <c r="I43" s="5">
        <f>H43-SUM(Lapse_data!H43,Death_data!H43)</f>
        <v>642</v>
      </c>
      <c r="J43" s="5">
        <f>I43-SUM(Lapse_data!I43,Death_data!I43)</f>
        <v>597</v>
      </c>
      <c r="K43" s="5">
        <f>J43-SUM(Lapse_data!J43,Death_data!J43)</f>
        <v>556</v>
      </c>
      <c r="L43" s="5">
        <f>K43-SUM(Lapse_data!K43,Death_data!K43)</f>
        <v>527</v>
      </c>
      <c r="M43" s="5">
        <f>L43-SUM(Lapse_data!L43,Death_data!L43)</f>
        <v>493</v>
      </c>
      <c r="N43" s="5">
        <f>M43-SUM(Lapse_data!M43,Death_data!M43)</f>
        <v>462</v>
      </c>
      <c r="O43" s="5">
        <f xml:space="preserve"> N43 - SUM(Lapse_data!N43:Y43, Death_data!N43)</f>
        <v>260</v>
      </c>
      <c r="P43" s="5">
        <f xml:space="preserve"> O43 - SUM(Lapse_data!Z43:AK43, Death_data!O43)</f>
        <v>183</v>
      </c>
      <c r="Q43" s="5">
        <f xml:space="preserve"> P43 - SUM(Lapse_data!AL43:AW43, Death_data!P43)</f>
        <v>130</v>
      </c>
      <c r="R43" s="5">
        <f xml:space="preserve"> Q43 - SUM(Lapse_data!AX43:BI43, Death_data!Q43)</f>
        <v>99</v>
      </c>
      <c r="S43" s="5">
        <f xml:space="preserve"> R43 - SUM(Lapse_data!BJ43:BU43, Death_data!R43)</f>
        <v>80</v>
      </c>
      <c r="T43" s="5">
        <f xml:space="preserve"> S43 - SUM(Lapse_data!BV43:CG43, Death_data!S43)</f>
        <v>73</v>
      </c>
      <c r="U43" s="5">
        <f xml:space="preserve"> T43 - SUM(Lapse_data!CH43:CS43, Death_data!T43)</f>
        <v>73</v>
      </c>
      <c r="V43" s="5">
        <f xml:space="preserve"> U43 - SUM(Lapse_data!CT43:DE43, Death_data!U43)</f>
        <v>73</v>
      </c>
      <c r="W43" s="5">
        <f xml:space="preserve"> V43 - SUM(Lapse_data!DF43:DQ43, Death_data!V43)</f>
        <v>73</v>
      </c>
    </row>
    <row r="44" spans="1:23" x14ac:dyDescent="0.35">
      <c r="A44" s="1">
        <f t="shared" si="0"/>
        <v>43282</v>
      </c>
      <c r="B44" s="5">
        <f>Inception_data!B44</f>
        <v>1334</v>
      </c>
      <c r="C44" s="5">
        <f>B44-SUM(Lapse_data!B44,Death_data!B44)</f>
        <v>1226</v>
      </c>
      <c r="D44" s="5">
        <f>C44-SUM(Lapse_data!C44,Death_data!C44)</f>
        <v>1021</v>
      </c>
      <c r="E44" s="5">
        <f>D44-SUM(Lapse_data!D44,Death_data!D44)</f>
        <v>870</v>
      </c>
      <c r="F44" s="5">
        <f>E44-SUM(Lapse_data!E44,Death_data!E44)</f>
        <v>778</v>
      </c>
      <c r="G44" s="5">
        <f>F44-SUM(Lapse_data!F44,Death_data!F44)</f>
        <v>722</v>
      </c>
      <c r="H44" s="5">
        <f>G44-SUM(Lapse_data!G44,Death_data!G44)</f>
        <v>678</v>
      </c>
      <c r="I44" s="5">
        <f>H44-SUM(Lapse_data!H44,Death_data!H44)</f>
        <v>636</v>
      </c>
      <c r="J44" s="5">
        <f>I44-SUM(Lapse_data!I44,Death_data!I44)</f>
        <v>599</v>
      </c>
      <c r="K44" s="5">
        <f>J44-SUM(Lapse_data!J44,Death_data!J44)</f>
        <v>560</v>
      </c>
      <c r="L44" s="5">
        <f>K44-SUM(Lapse_data!K44,Death_data!K44)</f>
        <v>513</v>
      </c>
      <c r="M44" s="5">
        <f>L44-SUM(Lapse_data!L44,Death_data!L44)</f>
        <v>483</v>
      </c>
      <c r="N44" s="5">
        <f>M44-SUM(Lapse_data!M44,Death_data!M44)</f>
        <v>446</v>
      </c>
      <c r="O44" s="5">
        <f xml:space="preserve"> N44 - SUM(Lapse_data!N44:Y44, Death_data!N44)</f>
        <v>260</v>
      </c>
      <c r="P44" s="5">
        <f xml:space="preserve"> O44 - SUM(Lapse_data!Z44:AK44, Death_data!O44)</f>
        <v>181</v>
      </c>
      <c r="Q44" s="5">
        <f xml:space="preserve"> P44 - SUM(Lapse_data!AL44:AW44, Death_data!P44)</f>
        <v>132</v>
      </c>
      <c r="R44" s="5">
        <f xml:space="preserve"> Q44 - SUM(Lapse_data!AX44:BI44, Death_data!Q44)</f>
        <v>103</v>
      </c>
      <c r="S44" s="5">
        <f xml:space="preserve"> R44 - SUM(Lapse_data!BJ44:BU44, Death_data!R44)</f>
        <v>80</v>
      </c>
      <c r="T44" s="5">
        <f xml:space="preserve"> S44 - SUM(Lapse_data!BV44:CG44, Death_data!S44)</f>
        <v>71</v>
      </c>
      <c r="U44" s="5">
        <f xml:space="preserve"> T44 - SUM(Lapse_data!CH44:CS44, Death_data!T44)</f>
        <v>71</v>
      </c>
      <c r="V44" s="5">
        <f xml:space="preserve"> U44 - SUM(Lapse_data!CT44:DE44, Death_data!U44)</f>
        <v>71</v>
      </c>
      <c r="W44" s="5">
        <f xml:space="preserve"> V44 - SUM(Lapse_data!DF44:DQ44, Death_data!V44)</f>
        <v>71</v>
      </c>
    </row>
    <row r="45" spans="1:23" x14ac:dyDescent="0.35">
      <c r="A45" s="1">
        <f t="shared" si="0"/>
        <v>43313</v>
      </c>
      <c r="B45" s="5">
        <f>Inception_data!B45</f>
        <v>1069</v>
      </c>
      <c r="C45" s="5">
        <f>B45-SUM(Lapse_data!B45,Death_data!B45)</f>
        <v>1002</v>
      </c>
      <c r="D45" s="5">
        <f>C45-SUM(Lapse_data!C45,Death_data!C45)</f>
        <v>823</v>
      </c>
      <c r="E45" s="5">
        <f>D45-SUM(Lapse_data!D45,Death_data!D45)</f>
        <v>709</v>
      </c>
      <c r="F45" s="5">
        <f>E45-SUM(Lapse_data!E45,Death_data!E45)</f>
        <v>623</v>
      </c>
      <c r="G45" s="5">
        <f>F45-SUM(Lapse_data!F45,Death_data!F45)</f>
        <v>570</v>
      </c>
      <c r="H45" s="5">
        <f>G45-SUM(Lapse_data!G45,Death_data!G45)</f>
        <v>517</v>
      </c>
      <c r="I45" s="5">
        <f>H45-SUM(Lapse_data!H45,Death_data!H45)</f>
        <v>480</v>
      </c>
      <c r="J45" s="5">
        <f>I45-SUM(Lapse_data!I45,Death_data!I45)</f>
        <v>446</v>
      </c>
      <c r="K45" s="5">
        <f>J45-SUM(Lapse_data!J45,Death_data!J45)</f>
        <v>417</v>
      </c>
      <c r="L45" s="5">
        <f>K45-SUM(Lapse_data!K45,Death_data!K45)</f>
        <v>390</v>
      </c>
      <c r="M45" s="5">
        <f>L45-SUM(Lapse_data!L45,Death_data!L45)</f>
        <v>360</v>
      </c>
      <c r="N45" s="5">
        <f>M45-SUM(Lapse_data!M45,Death_data!M45)</f>
        <v>327</v>
      </c>
      <c r="O45" s="5">
        <f xml:space="preserve"> N45 - SUM(Lapse_data!N45:Y45, Death_data!N45)</f>
        <v>178</v>
      </c>
      <c r="P45" s="5">
        <f xml:space="preserve"> O45 - SUM(Lapse_data!Z45:AK45, Death_data!O45)</f>
        <v>105</v>
      </c>
      <c r="Q45" s="5">
        <f xml:space="preserve"> P45 - SUM(Lapse_data!AL45:AW45, Death_data!P45)</f>
        <v>66</v>
      </c>
      <c r="R45" s="5">
        <f xml:space="preserve"> Q45 - SUM(Lapse_data!AX45:BI45, Death_data!Q45)</f>
        <v>49</v>
      </c>
      <c r="S45" s="5">
        <f xml:space="preserve"> R45 - SUM(Lapse_data!BJ45:BU45, Death_data!R45)</f>
        <v>36</v>
      </c>
      <c r="T45" s="5">
        <f xml:space="preserve"> S45 - SUM(Lapse_data!BV45:CG45, Death_data!S45)</f>
        <v>33</v>
      </c>
      <c r="U45" s="5">
        <f xml:space="preserve"> T45 - SUM(Lapse_data!CH45:CS45, Death_data!T45)</f>
        <v>33</v>
      </c>
      <c r="V45" s="5">
        <f xml:space="preserve"> U45 - SUM(Lapse_data!CT45:DE45, Death_data!U45)</f>
        <v>33</v>
      </c>
      <c r="W45" s="5">
        <f xml:space="preserve"> V45 - SUM(Lapse_data!DF45:DQ45, Death_data!V45)</f>
        <v>33</v>
      </c>
    </row>
    <row r="46" spans="1:23" x14ac:dyDescent="0.35">
      <c r="A46" s="1">
        <f t="shared" si="0"/>
        <v>43344</v>
      </c>
      <c r="B46" s="5">
        <f>Inception_data!B46</f>
        <v>979</v>
      </c>
      <c r="C46" s="5">
        <f>B46-SUM(Lapse_data!B46,Death_data!B46)</f>
        <v>878</v>
      </c>
      <c r="D46" s="5">
        <f>C46-SUM(Lapse_data!C46,Death_data!C46)</f>
        <v>730</v>
      </c>
      <c r="E46" s="5">
        <f>D46-SUM(Lapse_data!D46,Death_data!D46)</f>
        <v>639</v>
      </c>
      <c r="F46" s="5">
        <f>E46-SUM(Lapse_data!E46,Death_data!E46)</f>
        <v>586</v>
      </c>
      <c r="G46" s="5">
        <f>F46-SUM(Lapse_data!F46,Death_data!F46)</f>
        <v>540</v>
      </c>
      <c r="H46" s="5">
        <f>G46-SUM(Lapse_data!G46,Death_data!G46)</f>
        <v>486</v>
      </c>
      <c r="I46" s="5">
        <f>H46-SUM(Lapse_data!H46,Death_data!H46)</f>
        <v>453</v>
      </c>
      <c r="J46" s="5">
        <f>I46-SUM(Lapse_data!I46,Death_data!I46)</f>
        <v>415</v>
      </c>
      <c r="K46" s="5">
        <f>J46-SUM(Lapse_data!J46,Death_data!J46)</f>
        <v>382</v>
      </c>
      <c r="L46" s="5">
        <f>K46-SUM(Lapse_data!K46,Death_data!K46)</f>
        <v>347</v>
      </c>
      <c r="M46" s="5">
        <f>L46-SUM(Lapse_data!L46,Death_data!L46)</f>
        <v>315</v>
      </c>
      <c r="N46" s="5">
        <f>M46-SUM(Lapse_data!M46,Death_data!M46)</f>
        <v>299</v>
      </c>
      <c r="O46" s="5">
        <f xml:space="preserve"> N46 - SUM(Lapse_data!N46:Y46, Death_data!N46)</f>
        <v>158</v>
      </c>
      <c r="P46" s="5">
        <f xml:space="preserve"> O46 - SUM(Lapse_data!Z46:AK46, Death_data!O46)</f>
        <v>96</v>
      </c>
      <c r="Q46" s="5">
        <f xml:space="preserve"> P46 - SUM(Lapse_data!AL46:AW46, Death_data!P46)</f>
        <v>68</v>
      </c>
      <c r="R46" s="5">
        <f xml:space="preserve"> Q46 - SUM(Lapse_data!AX46:BI46, Death_data!Q46)</f>
        <v>46</v>
      </c>
      <c r="S46" s="5">
        <f xml:space="preserve"> R46 - SUM(Lapse_data!BJ46:BU46, Death_data!R46)</f>
        <v>27</v>
      </c>
      <c r="T46" s="5">
        <f xml:space="preserve"> S46 - SUM(Lapse_data!BV46:CG46, Death_data!S46)</f>
        <v>22</v>
      </c>
      <c r="U46" s="5">
        <f xml:space="preserve"> T46 - SUM(Lapse_data!CH46:CS46, Death_data!T46)</f>
        <v>22</v>
      </c>
      <c r="V46" s="5">
        <f xml:space="preserve"> U46 - SUM(Lapse_data!CT46:DE46, Death_data!U46)</f>
        <v>22</v>
      </c>
      <c r="W46" s="5">
        <f xml:space="preserve"> V46 - SUM(Lapse_data!DF46:DQ46, Death_data!V46)</f>
        <v>22</v>
      </c>
    </row>
    <row r="47" spans="1:23" x14ac:dyDescent="0.35">
      <c r="A47" s="1">
        <f t="shared" si="0"/>
        <v>43374</v>
      </c>
      <c r="B47" s="5">
        <f>Inception_data!B47</f>
        <v>1134</v>
      </c>
      <c r="C47" s="5">
        <f>B47-SUM(Lapse_data!B47,Death_data!B47)</f>
        <v>991</v>
      </c>
      <c r="D47" s="5">
        <f>C47-SUM(Lapse_data!C47,Death_data!C47)</f>
        <v>824</v>
      </c>
      <c r="E47" s="5">
        <f>D47-SUM(Lapse_data!D47,Death_data!D47)</f>
        <v>755</v>
      </c>
      <c r="F47" s="5">
        <f>E47-SUM(Lapse_data!E47,Death_data!E47)</f>
        <v>683</v>
      </c>
      <c r="G47" s="5">
        <f>F47-SUM(Lapse_data!F47,Death_data!F47)</f>
        <v>623</v>
      </c>
      <c r="H47" s="5">
        <f>G47-SUM(Lapse_data!G47,Death_data!G47)</f>
        <v>570</v>
      </c>
      <c r="I47" s="5">
        <f>H47-SUM(Lapse_data!H47,Death_data!H47)</f>
        <v>532</v>
      </c>
      <c r="J47" s="5">
        <f>I47-SUM(Lapse_data!I47,Death_data!I47)</f>
        <v>487</v>
      </c>
      <c r="K47" s="5">
        <f>J47-SUM(Lapse_data!J47,Death_data!J47)</f>
        <v>448</v>
      </c>
      <c r="L47" s="5">
        <f>K47-SUM(Lapse_data!K47,Death_data!K47)</f>
        <v>414</v>
      </c>
      <c r="M47" s="5">
        <f>L47-SUM(Lapse_data!L47,Death_data!L47)</f>
        <v>393</v>
      </c>
      <c r="N47" s="5">
        <f>M47-SUM(Lapse_data!M47,Death_data!M47)</f>
        <v>369</v>
      </c>
      <c r="O47" s="5">
        <f xml:space="preserve"> N47 - SUM(Lapse_data!N47:Y47, Death_data!N47)</f>
        <v>227</v>
      </c>
      <c r="P47" s="5">
        <f xml:space="preserve"> O47 - SUM(Lapse_data!Z47:AK47, Death_data!O47)</f>
        <v>155</v>
      </c>
      <c r="Q47" s="5">
        <f xml:space="preserve"> P47 - SUM(Lapse_data!AL47:AW47, Death_data!P47)</f>
        <v>93</v>
      </c>
      <c r="R47" s="5">
        <f xml:space="preserve"> Q47 - SUM(Lapse_data!AX47:BI47, Death_data!Q47)</f>
        <v>70</v>
      </c>
      <c r="S47" s="5">
        <f xml:space="preserve"> R47 - SUM(Lapse_data!BJ47:BU47, Death_data!R47)</f>
        <v>55</v>
      </c>
      <c r="T47" s="5">
        <f xml:space="preserve"> S47 - SUM(Lapse_data!BV47:CG47, Death_data!S47)</f>
        <v>55</v>
      </c>
      <c r="U47" s="5">
        <f xml:space="preserve"> T47 - SUM(Lapse_data!CH47:CS47, Death_data!T47)</f>
        <v>55</v>
      </c>
      <c r="V47" s="5">
        <f xml:space="preserve"> U47 - SUM(Lapse_data!CT47:DE47, Death_data!U47)</f>
        <v>55</v>
      </c>
      <c r="W47" s="5">
        <f xml:space="preserve"> V47 - SUM(Lapse_data!DF47:DQ47, Death_data!V47)</f>
        <v>55</v>
      </c>
    </row>
    <row r="48" spans="1:23" x14ac:dyDescent="0.35">
      <c r="A48" s="1">
        <f t="shared" si="0"/>
        <v>43405</v>
      </c>
      <c r="B48" s="5">
        <f>Inception_data!B48</f>
        <v>682</v>
      </c>
      <c r="C48" s="5">
        <f>B48-SUM(Lapse_data!B48,Death_data!B48)</f>
        <v>612</v>
      </c>
      <c r="D48" s="5">
        <f>C48-SUM(Lapse_data!C48,Death_data!C48)</f>
        <v>528</v>
      </c>
      <c r="E48" s="5">
        <f>D48-SUM(Lapse_data!D48,Death_data!D48)</f>
        <v>473</v>
      </c>
      <c r="F48" s="5">
        <f>E48-SUM(Lapse_data!E48,Death_data!E48)</f>
        <v>427</v>
      </c>
      <c r="G48" s="5">
        <f>F48-SUM(Lapse_data!F48,Death_data!F48)</f>
        <v>388</v>
      </c>
      <c r="H48" s="5">
        <f>G48-SUM(Lapse_data!G48,Death_data!G48)</f>
        <v>363</v>
      </c>
      <c r="I48" s="5">
        <f>H48-SUM(Lapse_data!H48,Death_data!H48)</f>
        <v>339</v>
      </c>
      <c r="J48" s="5">
        <f>I48-SUM(Lapse_data!I48,Death_data!I48)</f>
        <v>322</v>
      </c>
      <c r="K48" s="5">
        <f>J48-SUM(Lapse_data!J48,Death_data!J48)</f>
        <v>300</v>
      </c>
      <c r="L48" s="5">
        <f>K48-SUM(Lapse_data!K48,Death_data!K48)</f>
        <v>292</v>
      </c>
      <c r="M48" s="5">
        <f>L48-SUM(Lapse_data!L48,Death_data!L48)</f>
        <v>276</v>
      </c>
      <c r="N48" s="5">
        <f>M48-SUM(Lapse_data!M48,Death_data!M48)</f>
        <v>260</v>
      </c>
      <c r="O48" s="5">
        <f xml:space="preserve"> N48 - SUM(Lapse_data!N48:Y48, Death_data!N48)</f>
        <v>154</v>
      </c>
      <c r="P48" s="5">
        <f xml:space="preserve"> O48 - SUM(Lapse_data!Z48:AK48, Death_data!O48)</f>
        <v>99</v>
      </c>
      <c r="Q48" s="5">
        <f xml:space="preserve"> P48 - SUM(Lapse_data!AL48:AW48, Death_data!P48)</f>
        <v>71</v>
      </c>
      <c r="R48" s="5">
        <f xml:space="preserve"> Q48 - SUM(Lapse_data!AX48:BI48, Death_data!Q48)</f>
        <v>52</v>
      </c>
      <c r="S48" s="5">
        <f xml:space="preserve"> R48 - SUM(Lapse_data!BJ48:BU48, Death_data!R48)</f>
        <v>43</v>
      </c>
      <c r="T48" s="5">
        <f xml:space="preserve"> S48 - SUM(Lapse_data!BV48:CG48, Death_data!S48)</f>
        <v>43</v>
      </c>
      <c r="U48" s="5">
        <f xml:space="preserve"> T48 - SUM(Lapse_data!CH48:CS48, Death_data!T48)</f>
        <v>43</v>
      </c>
      <c r="V48" s="5">
        <f xml:space="preserve"> U48 - SUM(Lapse_data!CT48:DE48, Death_data!U48)</f>
        <v>43</v>
      </c>
      <c r="W48" s="5">
        <f xml:space="preserve"> V48 - SUM(Lapse_data!DF48:DQ48, Death_data!V48)</f>
        <v>43</v>
      </c>
    </row>
    <row r="49" spans="1:23" x14ac:dyDescent="0.35">
      <c r="A49" s="1">
        <f t="shared" si="0"/>
        <v>43435</v>
      </c>
      <c r="B49" s="5">
        <f>Inception_data!B49</f>
        <v>906</v>
      </c>
      <c r="C49" s="5">
        <f>B49-SUM(Lapse_data!B49,Death_data!B49)</f>
        <v>832</v>
      </c>
      <c r="D49" s="5">
        <f>C49-SUM(Lapse_data!C49,Death_data!C49)</f>
        <v>713</v>
      </c>
      <c r="E49" s="5">
        <f>D49-SUM(Lapse_data!D49,Death_data!D49)</f>
        <v>619</v>
      </c>
      <c r="F49" s="5">
        <f>E49-SUM(Lapse_data!E49,Death_data!E49)</f>
        <v>554</v>
      </c>
      <c r="G49" s="5">
        <f>F49-SUM(Lapse_data!F49,Death_data!F49)</f>
        <v>490</v>
      </c>
      <c r="H49" s="5">
        <f>G49-SUM(Lapse_data!G49,Death_data!G49)</f>
        <v>451</v>
      </c>
      <c r="I49" s="5">
        <f>H49-SUM(Lapse_data!H49,Death_data!H49)</f>
        <v>416</v>
      </c>
      <c r="J49" s="5">
        <f>I49-SUM(Lapse_data!I49,Death_data!I49)</f>
        <v>385</v>
      </c>
      <c r="K49" s="5">
        <f>J49-SUM(Lapse_data!J49,Death_data!J49)</f>
        <v>370</v>
      </c>
      <c r="L49" s="5">
        <f>K49-SUM(Lapse_data!K49,Death_data!K49)</f>
        <v>355</v>
      </c>
      <c r="M49" s="5">
        <f>L49-SUM(Lapse_data!L49,Death_data!L49)</f>
        <v>332</v>
      </c>
      <c r="N49" s="5">
        <f>M49-SUM(Lapse_data!M49,Death_data!M49)</f>
        <v>318</v>
      </c>
      <c r="O49" s="5">
        <f xml:space="preserve"> N49 - SUM(Lapse_data!N49:Y49, Death_data!N49)</f>
        <v>163</v>
      </c>
      <c r="P49" s="5">
        <f xml:space="preserve"> O49 - SUM(Lapse_data!Z49:AK49, Death_data!O49)</f>
        <v>111</v>
      </c>
      <c r="Q49" s="5">
        <f xml:space="preserve"> P49 - SUM(Lapse_data!AL49:AW49, Death_data!P49)</f>
        <v>70</v>
      </c>
      <c r="R49" s="5">
        <f xml:space="preserve"> Q49 - SUM(Lapse_data!AX49:BI49, Death_data!Q49)</f>
        <v>57</v>
      </c>
      <c r="S49" s="5">
        <f xml:space="preserve"> R49 - SUM(Lapse_data!BJ49:BU49, Death_data!R49)</f>
        <v>42</v>
      </c>
      <c r="T49" s="5">
        <f xml:space="preserve"> S49 - SUM(Lapse_data!BV49:CG49, Death_data!S49)</f>
        <v>40</v>
      </c>
      <c r="U49" s="5">
        <f xml:space="preserve"> T49 - SUM(Lapse_data!CH49:CS49, Death_data!T49)</f>
        <v>40</v>
      </c>
      <c r="V49" s="5">
        <f xml:space="preserve"> U49 - SUM(Lapse_data!CT49:DE49, Death_data!U49)</f>
        <v>40</v>
      </c>
      <c r="W49" s="5">
        <f xml:space="preserve"> V49 - SUM(Lapse_data!DF49:DQ49, Death_data!V49)</f>
        <v>40</v>
      </c>
    </row>
    <row r="50" spans="1:23" x14ac:dyDescent="0.35">
      <c r="A50" s="4">
        <f t="shared" si="0"/>
        <v>43466</v>
      </c>
      <c r="B50" s="5">
        <f>Inception_data!B50</f>
        <v>1179</v>
      </c>
      <c r="C50" s="5">
        <f>B50-SUM(Lapse_data!B50,Death_data!B50)</f>
        <v>1046</v>
      </c>
      <c r="D50" s="5">
        <f>C50-SUM(Lapse_data!C50,Death_data!C50)</f>
        <v>899</v>
      </c>
      <c r="E50" s="5">
        <f>D50-SUM(Lapse_data!D50,Death_data!D50)</f>
        <v>776</v>
      </c>
      <c r="F50" s="5">
        <f>E50-SUM(Lapse_data!E50,Death_data!E50)</f>
        <v>688</v>
      </c>
      <c r="G50" s="5">
        <f>F50-SUM(Lapse_data!F50,Death_data!F50)</f>
        <v>635</v>
      </c>
      <c r="H50" s="5">
        <f>G50-SUM(Lapse_data!G50,Death_data!G50)</f>
        <v>575</v>
      </c>
      <c r="I50" s="5">
        <f>H50-SUM(Lapse_data!H50,Death_data!H50)</f>
        <v>515</v>
      </c>
      <c r="J50" s="5">
        <f>I50-SUM(Lapse_data!I50,Death_data!I50)</f>
        <v>492</v>
      </c>
      <c r="K50" s="5">
        <f>J50-SUM(Lapse_data!J50,Death_data!J50)</f>
        <v>461</v>
      </c>
      <c r="L50" s="5">
        <f>K50-SUM(Lapse_data!K50,Death_data!K50)</f>
        <v>425</v>
      </c>
      <c r="M50" s="5">
        <f>L50-SUM(Lapse_data!L50,Death_data!L50)</f>
        <v>403</v>
      </c>
      <c r="N50" s="5">
        <f>M50-SUM(Lapse_data!M50,Death_data!M50)</f>
        <v>381</v>
      </c>
      <c r="O50" s="5">
        <f xml:space="preserve"> N50 - SUM(Lapse_data!N50:Y50, Death_data!N50)</f>
        <v>226</v>
      </c>
      <c r="P50" s="5">
        <f xml:space="preserve"> O50 - SUM(Lapse_data!Z50:AK50, Death_data!O50)</f>
        <v>155</v>
      </c>
      <c r="Q50" s="5">
        <f xml:space="preserve"> P50 - SUM(Lapse_data!AL50:AW50, Death_data!P50)</f>
        <v>113</v>
      </c>
      <c r="R50" s="5">
        <f xml:space="preserve"> Q50 - SUM(Lapse_data!AX50:BI50, Death_data!Q50)</f>
        <v>80</v>
      </c>
      <c r="S50" s="5">
        <f xml:space="preserve"> R50 - SUM(Lapse_data!BJ50:BU50, Death_data!R50)</f>
        <v>63</v>
      </c>
      <c r="T50" s="5">
        <f xml:space="preserve"> S50 - SUM(Lapse_data!BV50:CG50, Death_data!S50)</f>
        <v>63</v>
      </c>
      <c r="U50" s="5">
        <f xml:space="preserve"> T50 - SUM(Lapse_data!CH50:CS50, Death_data!T50)</f>
        <v>63</v>
      </c>
      <c r="V50" s="5">
        <f xml:space="preserve"> U50 - SUM(Lapse_data!CT50:DE50, Death_data!U50)</f>
        <v>63</v>
      </c>
      <c r="W50" s="5">
        <f xml:space="preserve"> V50 - SUM(Lapse_data!DF50:DQ50, Death_data!V50)</f>
        <v>63</v>
      </c>
    </row>
    <row r="51" spans="1:23" x14ac:dyDescent="0.35">
      <c r="A51" s="1">
        <f t="shared" si="0"/>
        <v>43497</v>
      </c>
      <c r="B51" s="5">
        <f>Inception_data!B51</f>
        <v>1095</v>
      </c>
      <c r="C51" s="5">
        <f>B51-SUM(Lapse_data!B51,Death_data!B51)</f>
        <v>968</v>
      </c>
      <c r="D51" s="5">
        <f>C51-SUM(Lapse_data!C51,Death_data!C51)</f>
        <v>806</v>
      </c>
      <c r="E51" s="5">
        <f>D51-SUM(Lapse_data!D51,Death_data!D51)</f>
        <v>676</v>
      </c>
      <c r="F51" s="5">
        <f>E51-SUM(Lapse_data!E51,Death_data!E51)</f>
        <v>592</v>
      </c>
      <c r="G51" s="5">
        <f>F51-SUM(Lapse_data!F51,Death_data!F51)</f>
        <v>545</v>
      </c>
      <c r="H51" s="5">
        <f>G51-SUM(Lapse_data!G51,Death_data!G51)</f>
        <v>481</v>
      </c>
      <c r="I51" s="5">
        <f>H51-SUM(Lapse_data!H51,Death_data!H51)</f>
        <v>450</v>
      </c>
      <c r="J51" s="5">
        <f>I51-SUM(Lapse_data!I51,Death_data!I51)</f>
        <v>414</v>
      </c>
      <c r="K51" s="5">
        <f>J51-SUM(Lapse_data!J51,Death_data!J51)</f>
        <v>381</v>
      </c>
      <c r="L51" s="5">
        <f>K51-SUM(Lapse_data!K51,Death_data!K51)</f>
        <v>353</v>
      </c>
      <c r="M51" s="5">
        <f>L51-SUM(Lapse_data!L51,Death_data!L51)</f>
        <v>337</v>
      </c>
      <c r="N51" s="5">
        <f>M51-SUM(Lapse_data!M51,Death_data!M51)</f>
        <v>321</v>
      </c>
      <c r="O51" s="5">
        <f xml:space="preserve"> N51 - SUM(Lapse_data!N51:Y51, Death_data!N51)</f>
        <v>187</v>
      </c>
      <c r="P51" s="5">
        <f xml:space="preserve"> O51 - SUM(Lapse_data!Z51:AK51, Death_data!O51)</f>
        <v>105</v>
      </c>
      <c r="Q51" s="5">
        <f xml:space="preserve"> P51 - SUM(Lapse_data!AL51:AW51, Death_data!P51)</f>
        <v>76</v>
      </c>
      <c r="R51" s="5">
        <f xml:space="preserve"> Q51 - SUM(Lapse_data!AX51:BI51, Death_data!Q51)</f>
        <v>59</v>
      </c>
      <c r="S51" s="5">
        <f xml:space="preserve"> R51 - SUM(Lapse_data!BJ51:BU51, Death_data!R51)</f>
        <v>45</v>
      </c>
      <c r="T51" s="5">
        <f xml:space="preserve"> S51 - SUM(Lapse_data!BV51:CG51, Death_data!S51)</f>
        <v>45</v>
      </c>
      <c r="U51" s="5">
        <f xml:space="preserve"> T51 - SUM(Lapse_data!CH51:CS51, Death_data!T51)</f>
        <v>45</v>
      </c>
      <c r="V51" s="5">
        <f xml:space="preserve"> U51 - SUM(Lapse_data!CT51:DE51, Death_data!U51)</f>
        <v>45</v>
      </c>
      <c r="W51" s="5">
        <f xml:space="preserve"> V51 - SUM(Lapse_data!DF51:DQ51, Death_data!V51)</f>
        <v>45</v>
      </c>
    </row>
    <row r="52" spans="1:23" x14ac:dyDescent="0.35">
      <c r="A52" s="1">
        <f t="shared" si="0"/>
        <v>43525</v>
      </c>
      <c r="B52" s="5">
        <f>Inception_data!B52</f>
        <v>867</v>
      </c>
      <c r="C52" s="5">
        <f>B52-SUM(Lapse_data!B52,Death_data!B52)</f>
        <v>761</v>
      </c>
      <c r="D52" s="5">
        <f>C52-SUM(Lapse_data!C52,Death_data!C52)</f>
        <v>592</v>
      </c>
      <c r="E52" s="5">
        <f>D52-SUM(Lapse_data!D52,Death_data!D52)</f>
        <v>487</v>
      </c>
      <c r="F52" s="5">
        <f>E52-SUM(Lapse_data!E52,Death_data!E52)</f>
        <v>430</v>
      </c>
      <c r="G52" s="5">
        <f>F52-SUM(Lapse_data!F52,Death_data!F52)</f>
        <v>384</v>
      </c>
      <c r="H52" s="5">
        <f>G52-SUM(Lapse_data!G52,Death_data!G52)</f>
        <v>357</v>
      </c>
      <c r="I52" s="5">
        <f>H52-SUM(Lapse_data!H52,Death_data!H52)</f>
        <v>326</v>
      </c>
      <c r="J52" s="5">
        <f>I52-SUM(Lapse_data!I52,Death_data!I52)</f>
        <v>306</v>
      </c>
      <c r="K52" s="5">
        <f>J52-SUM(Lapse_data!J52,Death_data!J52)</f>
        <v>289</v>
      </c>
      <c r="L52" s="5">
        <f>K52-SUM(Lapse_data!K52,Death_data!K52)</f>
        <v>263</v>
      </c>
      <c r="M52" s="5">
        <f>L52-SUM(Lapse_data!L52,Death_data!L52)</f>
        <v>238</v>
      </c>
      <c r="N52" s="5">
        <f>M52-SUM(Lapse_data!M52,Death_data!M52)</f>
        <v>217</v>
      </c>
      <c r="O52" s="5">
        <f xml:space="preserve"> N52 - SUM(Lapse_data!N52:Y52, Death_data!N52)</f>
        <v>95</v>
      </c>
      <c r="P52" s="5">
        <f xml:space="preserve"> O52 - SUM(Lapse_data!Z52:AK52, Death_data!O52)</f>
        <v>57</v>
      </c>
      <c r="Q52" s="5">
        <f xml:space="preserve"> P52 - SUM(Lapse_data!AL52:AW52, Death_data!P52)</f>
        <v>30</v>
      </c>
      <c r="R52" s="5">
        <f xml:space="preserve"> Q52 - SUM(Lapse_data!AX52:BI52, Death_data!Q52)</f>
        <v>18</v>
      </c>
      <c r="S52" s="5">
        <f xml:space="preserve"> R52 - SUM(Lapse_data!BJ52:BU52, Death_data!R52)</f>
        <v>11</v>
      </c>
      <c r="T52" s="5">
        <f xml:space="preserve"> S52 - SUM(Lapse_data!BV52:CG52, Death_data!S52)</f>
        <v>11</v>
      </c>
      <c r="U52" s="5">
        <f xml:space="preserve"> T52 - SUM(Lapse_data!CH52:CS52, Death_data!T52)</f>
        <v>11</v>
      </c>
      <c r="V52" s="5">
        <f xml:space="preserve"> U52 - SUM(Lapse_data!CT52:DE52, Death_data!U52)</f>
        <v>11</v>
      </c>
      <c r="W52" s="5">
        <f xml:space="preserve"> V52 - SUM(Lapse_data!DF52:DQ52, Death_data!V52)</f>
        <v>11</v>
      </c>
    </row>
    <row r="53" spans="1:23" x14ac:dyDescent="0.35">
      <c r="A53" s="1">
        <f t="shared" si="0"/>
        <v>43556</v>
      </c>
      <c r="B53" s="5">
        <f>Inception_data!B53</f>
        <v>984</v>
      </c>
      <c r="C53" s="5">
        <f>B53-SUM(Lapse_data!B53,Death_data!B53)</f>
        <v>875</v>
      </c>
      <c r="D53" s="5">
        <f>C53-SUM(Lapse_data!C53,Death_data!C53)</f>
        <v>669</v>
      </c>
      <c r="E53" s="5">
        <f>D53-SUM(Lapse_data!D53,Death_data!D53)</f>
        <v>558</v>
      </c>
      <c r="F53" s="5">
        <f>E53-SUM(Lapse_data!E53,Death_data!E53)</f>
        <v>472</v>
      </c>
      <c r="G53" s="5">
        <f>F53-SUM(Lapse_data!F53,Death_data!F53)</f>
        <v>447</v>
      </c>
      <c r="H53" s="5">
        <f>G53-SUM(Lapse_data!G53,Death_data!G53)</f>
        <v>403</v>
      </c>
      <c r="I53" s="5">
        <f>H53-SUM(Lapse_data!H53,Death_data!H53)</f>
        <v>372</v>
      </c>
      <c r="J53" s="5">
        <f>I53-SUM(Lapse_data!I53,Death_data!I53)</f>
        <v>346</v>
      </c>
      <c r="K53" s="5">
        <f>J53-SUM(Lapse_data!J53,Death_data!J53)</f>
        <v>327</v>
      </c>
      <c r="L53" s="5">
        <f>K53-SUM(Lapse_data!K53,Death_data!K53)</f>
        <v>298</v>
      </c>
      <c r="M53" s="5">
        <f>L53-SUM(Lapse_data!L53,Death_data!L53)</f>
        <v>272</v>
      </c>
      <c r="N53" s="5">
        <f>M53-SUM(Lapse_data!M53,Death_data!M53)</f>
        <v>250</v>
      </c>
      <c r="O53" s="5">
        <f xml:space="preserve"> N53 - SUM(Lapse_data!N53:Y53, Death_data!N53)</f>
        <v>134</v>
      </c>
      <c r="P53" s="5">
        <f xml:space="preserve"> O53 - SUM(Lapse_data!Z53:AK53, Death_data!O53)</f>
        <v>73</v>
      </c>
      <c r="Q53" s="5">
        <f xml:space="preserve"> P53 - SUM(Lapse_data!AL53:AW53, Death_data!P53)</f>
        <v>48</v>
      </c>
      <c r="R53" s="5">
        <f xml:space="preserve"> Q53 - SUM(Lapse_data!AX53:BI53, Death_data!Q53)</f>
        <v>26</v>
      </c>
      <c r="S53" s="5">
        <f xml:space="preserve"> R53 - SUM(Lapse_data!BJ53:BU53, Death_data!R53)</f>
        <v>20</v>
      </c>
      <c r="T53" s="5">
        <f xml:space="preserve"> S53 - SUM(Lapse_data!BV53:CG53, Death_data!S53)</f>
        <v>20</v>
      </c>
      <c r="U53" s="5">
        <f xml:space="preserve"> T53 - SUM(Lapse_data!CH53:CS53, Death_data!T53)</f>
        <v>20</v>
      </c>
      <c r="V53" s="5">
        <f xml:space="preserve"> U53 - SUM(Lapse_data!CT53:DE53, Death_data!U53)</f>
        <v>20</v>
      </c>
      <c r="W53" s="5">
        <f xml:space="preserve"> V53 - SUM(Lapse_data!DF53:DQ53, Death_data!V53)</f>
        <v>20</v>
      </c>
    </row>
    <row r="54" spans="1:23" x14ac:dyDescent="0.35">
      <c r="A54" s="1">
        <f t="shared" si="0"/>
        <v>43586</v>
      </c>
      <c r="B54" s="5">
        <f>Inception_data!B54</f>
        <v>1056</v>
      </c>
      <c r="C54" s="5">
        <f>B54-SUM(Lapse_data!B54,Death_data!B54)</f>
        <v>914</v>
      </c>
      <c r="D54" s="5">
        <f>C54-SUM(Lapse_data!C54,Death_data!C54)</f>
        <v>799</v>
      </c>
      <c r="E54" s="5">
        <f>D54-SUM(Lapse_data!D54,Death_data!D54)</f>
        <v>597</v>
      </c>
      <c r="F54" s="5">
        <f>E54-SUM(Lapse_data!E54,Death_data!E54)</f>
        <v>542</v>
      </c>
      <c r="G54" s="5">
        <f>F54-SUM(Lapse_data!F54,Death_data!F54)</f>
        <v>493</v>
      </c>
      <c r="H54" s="5">
        <f>G54-SUM(Lapse_data!G54,Death_data!G54)</f>
        <v>446</v>
      </c>
      <c r="I54" s="5">
        <f>H54-SUM(Lapse_data!H54,Death_data!H54)</f>
        <v>414</v>
      </c>
      <c r="J54" s="5">
        <f>I54-SUM(Lapse_data!I54,Death_data!I54)</f>
        <v>387</v>
      </c>
      <c r="K54" s="5">
        <f>J54-SUM(Lapse_data!J54,Death_data!J54)</f>
        <v>357</v>
      </c>
      <c r="L54" s="5">
        <f>K54-SUM(Lapse_data!K54,Death_data!K54)</f>
        <v>331</v>
      </c>
      <c r="M54" s="5">
        <f>L54-SUM(Lapse_data!L54,Death_data!L54)</f>
        <v>312</v>
      </c>
      <c r="N54" s="5">
        <f>M54-SUM(Lapse_data!M54,Death_data!M54)</f>
        <v>288</v>
      </c>
      <c r="O54" s="5">
        <f xml:space="preserve"> N54 - SUM(Lapse_data!N54:Y54, Death_data!N54)</f>
        <v>154</v>
      </c>
      <c r="P54" s="5">
        <f xml:space="preserve"> O54 - SUM(Lapse_data!Z54:AK54, Death_data!O54)</f>
        <v>93</v>
      </c>
      <c r="Q54" s="5">
        <f xml:space="preserve"> P54 - SUM(Lapse_data!AL54:AW54, Death_data!P54)</f>
        <v>61</v>
      </c>
      <c r="R54" s="5">
        <f xml:space="preserve"> Q54 - SUM(Lapse_data!AX54:BI54, Death_data!Q54)</f>
        <v>47</v>
      </c>
      <c r="S54" s="5">
        <f xml:space="preserve"> R54 - SUM(Lapse_data!BJ54:BU54, Death_data!R54)</f>
        <v>39</v>
      </c>
      <c r="T54" s="5">
        <f xml:space="preserve"> S54 - SUM(Lapse_data!BV54:CG54, Death_data!S54)</f>
        <v>39</v>
      </c>
      <c r="U54" s="5">
        <f xml:space="preserve"> T54 - SUM(Lapse_data!CH54:CS54, Death_data!T54)</f>
        <v>39</v>
      </c>
      <c r="V54" s="5">
        <f xml:space="preserve"> U54 - SUM(Lapse_data!CT54:DE54, Death_data!U54)</f>
        <v>39</v>
      </c>
      <c r="W54" s="5">
        <f xml:space="preserve"> V54 - SUM(Lapse_data!DF54:DQ54, Death_data!V54)</f>
        <v>39</v>
      </c>
    </row>
    <row r="55" spans="1:23" x14ac:dyDescent="0.35">
      <c r="A55" s="1">
        <f t="shared" si="0"/>
        <v>43617</v>
      </c>
      <c r="B55" s="5">
        <f>Inception_data!B55</f>
        <v>1087</v>
      </c>
      <c r="C55" s="5">
        <f>B55-SUM(Lapse_data!B55,Death_data!B55)</f>
        <v>910</v>
      </c>
      <c r="D55" s="5">
        <f>C55-SUM(Lapse_data!C55,Death_data!C55)</f>
        <v>790</v>
      </c>
      <c r="E55" s="5">
        <f>D55-SUM(Lapse_data!D55,Death_data!D55)</f>
        <v>649</v>
      </c>
      <c r="F55" s="5">
        <f>E55-SUM(Lapse_data!E55,Death_data!E55)</f>
        <v>579</v>
      </c>
      <c r="G55" s="5">
        <f>F55-SUM(Lapse_data!F55,Death_data!F55)</f>
        <v>513</v>
      </c>
      <c r="H55" s="5">
        <f>G55-SUM(Lapse_data!G55,Death_data!G55)</f>
        <v>470</v>
      </c>
      <c r="I55" s="5">
        <f>H55-SUM(Lapse_data!H55,Death_data!H55)</f>
        <v>441</v>
      </c>
      <c r="J55" s="5">
        <f>I55-SUM(Lapse_data!I55,Death_data!I55)</f>
        <v>411</v>
      </c>
      <c r="K55" s="5">
        <f>J55-SUM(Lapse_data!J55,Death_data!J55)</f>
        <v>380</v>
      </c>
      <c r="L55" s="5">
        <f>K55-SUM(Lapse_data!K55,Death_data!K55)</f>
        <v>356</v>
      </c>
      <c r="M55" s="5">
        <f>L55-SUM(Lapse_data!L55,Death_data!L55)</f>
        <v>329</v>
      </c>
      <c r="N55" s="5">
        <f>M55-SUM(Lapse_data!M55,Death_data!M55)</f>
        <v>305</v>
      </c>
      <c r="O55" s="5">
        <f xml:space="preserve"> N55 - SUM(Lapse_data!N55:Y55, Death_data!N55)</f>
        <v>150</v>
      </c>
      <c r="P55" s="5">
        <f xml:space="preserve"> O55 - SUM(Lapse_data!Z55:AK55, Death_data!O55)</f>
        <v>89</v>
      </c>
      <c r="Q55" s="5">
        <f xml:space="preserve"> P55 - SUM(Lapse_data!AL55:AW55, Death_data!P55)</f>
        <v>57</v>
      </c>
      <c r="R55" s="5">
        <f xml:space="preserve"> Q55 - SUM(Lapse_data!AX55:BI55, Death_data!Q55)</f>
        <v>36</v>
      </c>
      <c r="S55" s="5">
        <f xml:space="preserve"> R55 - SUM(Lapse_data!BJ55:BU55, Death_data!R55)</f>
        <v>27</v>
      </c>
      <c r="T55" s="5">
        <f xml:space="preserve"> S55 - SUM(Lapse_data!BV55:CG55, Death_data!S55)</f>
        <v>27</v>
      </c>
      <c r="U55" s="5">
        <f xml:space="preserve"> T55 - SUM(Lapse_data!CH55:CS55, Death_data!T55)</f>
        <v>27</v>
      </c>
      <c r="V55" s="5">
        <f xml:space="preserve"> U55 - SUM(Lapse_data!CT55:DE55, Death_data!U55)</f>
        <v>27</v>
      </c>
      <c r="W55" s="5">
        <f xml:space="preserve"> V55 - SUM(Lapse_data!DF55:DQ55, Death_data!V55)</f>
        <v>27</v>
      </c>
    </row>
    <row r="56" spans="1:23" x14ac:dyDescent="0.35">
      <c r="A56" s="1">
        <f t="shared" si="0"/>
        <v>43647</v>
      </c>
      <c r="B56" s="5">
        <f>Inception_data!B56</f>
        <v>1257</v>
      </c>
      <c r="C56" s="5">
        <f>B56-SUM(Lapse_data!B56,Death_data!B56)</f>
        <v>1014</v>
      </c>
      <c r="D56" s="5">
        <f>C56-SUM(Lapse_data!C56,Death_data!C56)</f>
        <v>916</v>
      </c>
      <c r="E56" s="5">
        <f>D56-SUM(Lapse_data!D56,Death_data!D56)</f>
        <v>724</v>
      </c>
      <c r="F56" s="5">
        <f>E56-SUM(Lapse_data!E56,Death_data!E56)</f>
        <v>639</v>
      </c>
      <c r="G56" s="5">
        <f>F56-SUM(Lapse_data!F56,Death_data!F56)</f>
        <v>591</v>
      </c>
      <c r="H56" s="5">
        <f>G56-SUM(Lapse_data!G56,Death_data!G56)</f>
        <v>542</v>
      </c>
      <c r="I56" s="5">
        <f>H56-SUM(Lapse_data!H56,Death_data!H56)</f>
        <v>501</v>
      </c>
      <c r="J56" s="5">
        <f>I56-SUM(Lapse_data!I56,Death_data!I56)</f>
        <v>461</v>
      </c>
      <c r="K56" s="5">
        <f>J56-SUM(Lapse_data!J56,Death_data!J56)</f>
        <v>431</v>
      </c>
      <c r="L56" s="5">
        <f>K56-SUM(Lapse_data!K56,Death_data!K56)</f>
        <v>393</v>
      </c>
      <c r="M56" s="5">
        <f>L56-SUM(Lapse_data!L56,Death_data!L56)</f>
        <v>367</v>
      </c>
      <c r="N56" s="5">
        <f>M56-SUM(Lapse_data!M56,Death_data!M56)</f>
        <v>342</v>
      </c>
      <c r="O56" s="5">
        <f xml:space="preserve"> N56 - SUM(Lapse_data!N56:Y56, Death_data!N56)</f>
        <v>176</v>
      </c>
      <c r="P56" s="5">
        <f xml:space="preserve"> O56 - SUM(Lapse_data!Z56:AK56, Death_data!O56)</f>
        <v>96</v>
      </c>
      <c r="Q56" s="5">
        <f xml:space="preserve"> P56 - SUM(Lapse_data!AL56:AW56, Death_data!P56)</f>
        <v>55</v>
      </c>
      <c r="R56" s="5">
        <f xml:space="preserve"> Q56 - SUM(Lapse_data!AX56:BI56, Death_data!Q56)</f>
        <v>40</v>
      </c>
      <c r="S56" s="5">
        <f xml:space="preserve"> R56 - SUM(Lapse_data!BJ56:BU56, Death_data!R56)</f>
        <v>33</v>
      </c>
      <c r="T56" s="5">
        <f xml:space="preserve"> S56 - SUM(Lapse_data!BV56:CG56, Death_data!S56)</f>
        <v>33</v>
      </c>
      <c r="U56" s="5">
        <f xml:space="preserve"> T56 - SUM(Lapse_data!CH56:CS56, Death_data!T56)</f>
        <v>33</v>
      </c>
      <c r="V56" s="5">
        <f xml:space="preserve"> U56 - SUM(Lapse_data!CT56:DE56, Death_data!U56)</f>
        <v>33</v>
      </c>
      <c r="W56" s="5">
        <f xml:space="preserve"> V56 - SUM(Lapse_data!DF56:DQ56, Death_data!V56)</f>
        <v>33</v>
      </c>
    </row>
    <row r="57" spans="1:23" x14ac:dyDescent="0.35">
      <c r="A57" s="1">
        <f t="shared" si="0"/>
        <v>43678</v>
      </c>
      <c r="B57" s="5">
        <f>Inception_data!B57</f>
        <v>645</v>
      </c>
      <c r="C57" s="5">
        <f>B57-SUM(Lapse_data!B57,Death_data!B57)</f>
        <v>587</v>
      </c>
      <c r="D57" s="5">
        <f>C57-SUM(Lapse_data!C57,Death_data!C57)</f>
        <v>490</v>
      </c>
      <c r="E57" s="5">
        <f>D57-SUM(Lapse_data!D57,Death_data!D57)</f>
        <v>394</v>
      </c>
      <c r="F57" s="5">
        <f>E57-SUM(Lapse_data!E57,Death_data!E57)</f>
        <v>343</v>
      </c>
      <c r="G57" s="5">
        <f>F57-SUM(Lapse_data!F57,Death_data!F57)</f>
        <v>313</v>
      </c>
      <c r="H57" s="5">
        <f>G57-SUM(Lapse_data!G57,Death_data!G57)</f>
        <v>277</v>
      </c>
      <c r="I57" s="5">
        <f>H57-SUM(Lapse_data!H57,Death_data!H57)</f>
        <v>257</v>
      </c>
      <c r="J57" s="5">
        <f>I57-SUM(Lapse_data!I57,Death_data!I57)</f>
        <v>236</v>
      </c>
      <c r="K57" s="5">
        <f>J57-SUM(Lapse_data!J57,Death_data!J57)</f>
        <v>216</v>
      </c>
      <c r="L57" s="5">
        <f>K57-SUM(Lapse_data!K57,Death_data!K57)</f>
        <v>207</v>
      </c>
      <c r="M57" s="5">
        <f>L57-SUM(Lapse_data!L57,Death_data!L57)</f>
        <v>190</v>
      </c>
      <c r="N57" s="5">
        <f>M57-SUM(Lapse_data!M57,Death_data!M57)</f>
        <v>178</v>
      </c>
      <c r="O57" s="5">
        <f xml:space="preserve"> N57 - SUM(Lapse_data!N57:Y57, Death_data!N57)</f>
        <v>84</v>
      </c>
      <c r="P57" s="5">
        <f xml:space="preserve"> O57 - SUM(Lapse_data!Z57:AK57, Death_data!O57)</f>
        <v>48</v>
      </c>
      <c r="Q57" s="5">
        <f xml:space="preserve"> P57 - SUM(Lapse_data!AL57:AW57, Death_data!P57)</f>
        <v>27</v>
      </c>
      <c r="R57" s="5">
        <f xml:space="preserve"> Q57 - SUM(Lapse_data!AX57:BI57, Death_data!Q57)</f>
        <v>15</v>
      </c>
      <c r="S57" s="5">
        <f xml:space="preserve"> R57 - SUM(Lapse_data!BJ57:BU57, Death_data!R57)</f>
        <v>12</v>
      </c>
      <c r="T57" s="5">
        <f xml:space="preserve"> S57 - SUM(Lapse_data!BV57:CG57, Death_data!S57)</f>
        <v>12</v>
      </c>
      <c r="U57" s="5">
        <f xml:space="preserve"> T57 - SUM(Lapse_data!CH57:CS57, Death_data!T57)</f>
        <v>12</v>
      </c>
      <c r="V57" s="5">
        <f xml:space="preserve"> U57 - SUM(Lapse_data!CT57:DE57, Death_data!U57)</f>
        <v>12</v>
      </c>
      <c r="W57" s="5">
        <f xml:space="preserve"> V57 - SUM(Lapse_data!DF57:DQ57, Death_data!V57)</f>
        <v>12</v>
      </c>
    </row>
    <row r="58" spans="1:23" x14ac:dyDescent="0.35">
      <c r="A58" s="1">
        <f t="shared" si="0"/>
        <v>43709</v>
      </c>
      <c r="B58" s="5">
        <f>Inception_data!B58</f>
        <v>586</v>
      </c>
      <c r="C58" s="5">
        <f>B58-SUM(Lapse_data!B58,Death_data!B58)</f>
        <v>520</v>
      </c>
      <c r="D58" s="5">
        <f>C58-SUM(Lapse_data!C58,Death_data!C58)</f>
        <v>444</v>
      </c>
      <c r="E58" s="5">
        <f>D58-SUM(Lapse_data!D58,Death_data!D58)</f>
        <v>376</v>
      </c>
      <c r="F58" s="5">
        <f>E58-SUM(Lapse_data!E58,Death_data!E58)</f>
        <v>333</v>
      </c>
      <c r="G58" s="5">
        <f>F58-SUM(Lapse_data!F58,Death_data!F58)</f>
        <v>304</v>
      </c>
      <c r="H58" s="5">
        <f>G58-SUM(Lapse_data!G58,Death_data!G58)</f>
        <v>277</v>
      </c>
      <c r="I58" s="5">
        <f>H58-SUM(Lapse_data!H58,Death_data!H58)</f>
        <v>248</v>
      </c>
      <c r="J58" s="5">
        <f>I58-SUM(Lapse_data!I58,Death_data!I58)</f>
        <v>226</v>
      </c>
      <c r="K58" s="5">
        <f>J58-SUM(Lapse_data!J58,Death_data!J58)</f>
        <v>216</v>
      </c>
      <c r="L58" s="5">
        <f>K58-SUM(Lapse_data!K58,Death_data!K58)</f>
        <v>207</v>
      </c>
      <c r="M58" s="5">
        <f>L58-SUM(Lapse_data!L58,Death_data!L58)</f>
        <v>202</v>
      </c>
      <c r="N58" s="5">
        <f>M58-SUM(Lapse_data!M58,Death_data!M58)</f>
        <v>192</v>
      </c>
      <c r="O58" s="5">
        <f xml:space="preserve"> N58 - SUM(Lapse_data!N58:Y58, Death_data!N58)</f>
        <v>91</v>
      </c>
      <c r="P58" s="5">
        <f xml:space="preserve"> O58 - SUM(Lapse_data!Z58:AK58, Death_data!O58)</f>
        <v>47</v>
      </c>
      <c r="Q58" s="5">
        <f xml:space="preserve"> P58 - SUM(Lapse_data!AL58:AW58, Death_data!P58)</f>
        <v>24</v>
      </c>
      <c r="R58" s="5">
        <f xml:space="preserve"> Q58 - SUM(Lapse_data!AX58:BI58, Death_data!Q58)</f>
        <v>7</v>
      </c>
      <c r="S58" s="5">
        <f xml:space="preserve"> R58 - SUM(Lapse_data!BJ58:BU58, Death_data!R58)</f>
        <v>4</v>
      </c>
      <c r="T58" s="5">
        <f xml:space="preserve"> S58 - SUM(Lapse_data!BV58:CG58, Death_data!S58)</f>
        <v>4</v>
      </c>
      <c r="U58" s="5">
        <f xml:space="preserve"> T58 - SUM(Lapse_data!CH58:CS58, Death_data!T58)</f>
        <v>4</v>
      </c>
      <c r="V58" s="5">
        <f xml:space="preserve"> U58 - SUM(Lapse_data!CT58:DE58, Death_data!U58)</f>
        <v>4</v>
      </c>
      <c r="W58" s="5">
        <f xml:space="preserve"> V58 - SUM(Lapse_data!DF58:DQ58, Death_data!V58)</f>
        <v>4</v>
      </c>
    </row>
    <row r="59" spans="1:23" x14ac:dyDescent="0.35">
      <c r="A59" s="1">
        <f t="shared" si="0"/>
        <v>43739</v>
      </c>
      <c r="B59" s="5">
        <f>Inception_data!B59</f>
        <v>787</v>
      </c>
      <c r="C59" s="5">
        <f>B59-SUM(Lapse_data!B59,Death_data!B59)</f>
        <v>717</v>
      </c>
      <c r="D59" s="5">
        <f>C59-SUM(Lapse_data!C59,Death_data!C59)</f>
        <v>618</v>
      </c>
      <c r="E59" s="5">
        <f>D59-SUM(Lapse_data!D59,Death_data!D59)</f>
        <v>534</v>
      </c>
      <c r="F59" s="5">
        <f>E59-SUM(Lapse_data!E59,Death_data!E59)</f>
        <v>473</v>
      </c>
      <c r="G59" s="5">
        <f>F59-SUM(Lapse_data!F59,Death_data!F59)</f>
        <v>447</v>
      </c>
      <c r="H59" s="5">
        <f>G59-SUM(Lapse_data!G59,Death_data!G59)</f>
        <v>411</v>
      </c>
      <c r="I59" s="5">
        <f>H59-SUM(Lapse_data!H59,Death_data!H59)</f>
        <v>386</v>
      </c>
      <c r="J59" s="5">
        <f>I59-SUM(Lapse_data!I59,Death_data!I59)</f>
        <v>363</v>
      </c>
      <c r="K59" s="5">
        <f>J59-SUM(Lapse_data!J59,Death_data!J59)</f>
        <v>345</v>
      </c>
      <c r="L59" s="5">
        <f>K59-SUM(Lapse_data!K59,Death_data!K59)</f>
        <v>324</v>
      </c>
      <c r="M59" s="5">
        <f>L59-SUM(Lapse_data!L59,Death_data!L59)</f>
        <v>305</v>
      </c>
      <c r="N59" s="5">
        <f>M59-SUM(Lapse_data!M59,Death_data!M59)</f>
        <v>298</v>
      </c>
      <c r="O59" s="5">
        <f xml:space="preserve"> N59 - SUM(Lapse_data!N59:Y59, Death_data!N59)</f>
        <v>171</v>
      </c>
      <c r="P59" s="5">
        <f xml:space="preserve"> O59 - SUM(Lapse_data!Z59:AK59, Death_data!O59)</f>
        <v>118</v>
      </c>
      <c r="Q59" s="5">
        <f xml:space="preserve"> P59 - SUM(Lapse_data!AL59:AW59, Death_data!P59)</f>
        <v>92</v>
      </c>
      <c r="R59" s="5">
        <f xml:space="preserve"> Q59 - SUM(Lapse_data!AX59:BI59, Death_data!Q59)</f>
        <v>63</v>
      </c>
      <c r="S59" s="5">
        <f xml:space="preserve"> R59 - SUM(Lapse_data!BJ59:BU59, Death_data!R59)</f>
        <v>60</v>
      </c>
      <c r="T59" s="5">
        <f xml:space="preserve"> S59 - SUM(Lapse_data!BV59:CG59, Death_data!S59)</f>
        <v>60</v>
      </c>
      <c r="U59" s="5">
        <f xml:space="preserve"> T59 - SUM(Lapse_data!CH59:CS59, Death_data!T59)</f>
        <v>60</v>
      </c>
      <c r="V59" s="5">
        <f xml:space="preserve"> U59 - SUM(Lapse_data!CT59:DE59, Death_data!U59)</f>
        <v>60</v>
      </c>
      <c r="W59" s="5">
        <f xml:space="preserve"> V59 - SUM(Lapse_data!DF59:DQ59, Death_data!V59)</f>
        <v>60</v>
      </c>
    </row>
    <row r="60" spans="1:23" x14ac:dyDescent="0.35">
      <c r="A60" s="1">
        <f t="shared" si="0"/>
        <v>43770</v>
      </c>
      <c r="B60" s="5">
        <f>Inception_data!B60</f>
        <v>829</v>
      </c>
      <c r="C60" s="5">
        <f>B60-SUM(Lapse_data!B60,Death_data!B60)</f>
        <v>768</v>
      </c>
      <c r="D60" s="5">
        <f>C60-SUM(Lapse_data!C60,Death_data!C60)</f>
        <v>673</v>
      </c>
      <c r="E60" s="5">
        <f>D60-SUM(Lapse_data!D60,Death_data!D60)</f>
        <v>587</v>
      </c>
      <c r="F60" s="5">
        <f>E60-SUM(Lapse_data!E60,Death_data!E60)</f>
        <v>541</v>
      </c>
      <c r="G60" s="5">
        <f>F60-SUM(Lapse_data!F60,Death_data!F60)</f>
        <v>498</v>
      </c>
      <c r="H60" s="5">
        <f>G60-SUM(Lapse_data!G60,Death_data!G60)</f>
        <v>463</v>
      </c>
      <c r="I60" s="5">
        <f>H60-SUM(Lapse_data!H60,Death_data!H60)</f>
        <v>434</v>
      </c>
      <c r="J60" s="5">
        <f>I60-SUM(Lapse_data!I60,Death_data!I60)</f>
        <v>413</v>
      </c>
      <c r="K60" s="5">
        <f>J60-SUM(Lapse_data!J60,Death_data!J60)</f>
        <v>383</v>
      </c>
      <c r="L60" s="5">
        <f>K60-SUM(Lapse_data!K60,Death_data!K60)</f>
        <v>358</v>
      </c>
      <c r="M60" s="5">
        <f>L60-SUM(Lapse_data!L60,Death_data!L60)</f>
        <v>345</v>
      </c>
      <c r="N60" s="5">
        <f>M60-SUM(Lapse_data!M60,Death_data!M60)</f>
        <v>323</v>
      </c>
      <c r="O60" s="5">
        <f xml:space="preserve"> N60 - SUM(Lapse_data!N60:Y60, Death_data!N60)</f>
        <v>183</v>
      </c>
      <c r="P60" s="5">
        <f xml:space="preserve"> O60 - SUM(Lapse_data!Z60:AK60, Death_data!O60)</f>
        <v>129</v>
      </c>
      <c r="Q60" s="5">
        <f xml:space="preserve"> P60 - SUM(Lapse_data!AL60:AW60, Death_data!P60)</f>
        <v>96</v>
      </c>
      <c r="R60" s="5">
        <f xml:space="preserve"> Q60 - SUM(Lapse_data!AX60:BI60, Death_data!Q60)</f>
        <v>65</v>
      </c>
      <c r="S60" s="5">
        <f xml:space="preserve"> R60 - SUM(Lapse_data!BJ60:BU60, Death_data!R60)</f>
        <v>65</v>
      </c>
      <c r="T60" s="5">
        <f xml:space="preserve"> S60 - SUM(Lapse_data!BV60:CG60, Death_data!S60)</f>
        <v>65</v>
      </c>
      <c r="U60" s="5">
        <f xml:space="preserve"> T60 - SUM(Lapse_data!CH60:CS60, Death_data!T60)</f>
        <v>65</v>
      </c>
      <c r="V60" s="5">
        <f xml:space="preserve"> U60 - SUM(Lapse_data!CT60:DE60, Death_data!U60)</f>
        <v>65</v>
      </c>
      <c r="W60" s="5">
        <f xml:space="preserve"> V60 - SUM(Lapse_data!DF60:DQ60, Death_data!V60)</f>
        <v>65</v>
      </c>
    </row>
    <row r="61" spans="1:23" x14ac:dyDescent="0.35">
      <c r="A61" s="1">
        <f t="shared" si="0"/>
        <v>43800</v>
      </c>
      <c r="B61" s="5">
        <f>Inception_data!B61</f>
        <v>748</v>
      </c>
      <c r="C61" s="5">
        <f>B61-SUM(Lapse_data!B61,Death_data!B61)</f>
        <v>678</v>
      </c>
      <c r="D61" s="5">
        <f>C61-SUM(Lapse_data!C61,Death_data!C61)</f>
        <v>552</v>
      </c>
      <c r="E61" s="5">
        <f>D61-SUM(Lapse_data!D61,Death_data!D61)</f>
        <v>484</v>
      </c>
      <c r="F61" s="5">
        <f>E61-SUM(Lapse_data!E61,Death_data!E61)</f>
        <v>444</v>
      </c>
      <c r="G61" s="5">
        <f>F61-SUM(Lapse_data!F61,Death_data!F61)</f>
        <v>412</v>
      </c>
      <c r="H61" s="5">
        <f>G61-SUM(Lapse_data!G61,Death_data!G61)</f>
        <v>385</v>
      </c>
      <c r="I61" s="5">
        <f>H61-SUM(Lapse_data!H61,Death_data!H61)</f>
        <v>358</v>
      </c>
      <c r="J61" s="5">
        <f>I61-SUM(Lapse_data!I61,Death_data!I61)</f>
        <v>328</v>
      </c>
      <c r="K61" s="5">
        <f>J61-SUM(Lapse_data!J61,Death_data!J61)</f>
        <v>306</v>
      </c>
      <c r="L61" s="5">
        <f>K61-SUM(Lapse_data!K61,Death_data!K61)</f>
        <v>296</v>
      </c>
      <c r="M61" s="5">
        <f>L61-SUM(Lapse_data!L61,Death_data!L61)</f>
        <v>289</v>
      </c>
      <c r="N61" s="5">
        <f>M61-SUM(Lapse_data!M61,Death_data!M61)</f>
        <v>241</v>
      </c>
      <c r="O61" s="5">
        <f xml:space="preserve"> N61 - SUM(Lapse_data!N61:Y61, Death_data!N61)</f>
        <v>139</v>
      </c>
      <c r="P61" s="5">
        <f xml:space="preserve"> O61 - SUM(Lapse_data!Z61:AK61, Death_data!O61)</f>
        <v>85</v>
      </c>
      <c r="Q61" s="5">
        <f xml:space="preserve"> P61 - SUM(Lapse_data!AL61:AW61, Death_data!P61)</f>
        <v>59</v>
      </c>
      <c r="R61" s="5">
        <f xml:space="preserve"> Q61 - SUM(Lapse_data!AX61:BI61, Death_data!Q61)</f>
        <v>40</v>
      </c>
      <c r="S61" s="5">
        <f xml:space="preserve"> R61 - SUM(Lapse_data!BJ61:BU61, Death_data!R61)</f>
        <v>39</v>
      </c>
      <c r="T61" s="5">
        <f xml:space="preserve"> S61 - SUM(Lapse_data!BV61:CG61, Death_data!S61)</f>
        <v>39</v>
      </c>
      <c r="U61" s="5">
        <f xml:space="preserve"> T61 - SUM(Lapse_data!CH61:CS61, Death_data!T61)</f>
        <v>39</v>
      </c>
      <c r="V61" s="5">
        <f xml:space="preserve"> U61 - SUM(Lapse_data!CT61:DE61, Death_data!U61)</f>
        <v>39</v>
      </c>
      <c r="W61" s="5">
        <f xml:space="preserve"> V61 - SUM(Lapse_data!DF61:DQ61, Death_data!V61)</f>
        <v>39</v>
      </c>
    </row>
    <row r="62" spans="1:23" x14ac:dyDescent="0.35">
      <c r="A62" s="4">
        <f t="shared" si="0"/>
        <v>43831</v>
      </c>
      <c r="B62" s="5">
        <f>Inception_data!B62</f>
        <v>812</v>
      </c>
      <c r="C62" s="5">
        <f>B62-SUM(Lapse_data!B62,Death_data!B62)</f>
        <v>747</v>
      </c>
      <c r="D62" s="5">
        <f>C62-SUM(Lapse_data!C62,Death_data!C62)</f>
        <v>644</v>
      </c>
      <c r="E62" s="5">
        <f>D62-SUM(Lapse_data!D62,Death_data!D62)</f>
        <v>566</v>
      </c>
      <c r="F62" s="5">
        <f>E62-SUM(Lapse_data!E62,Death_data!E62)</f>
        <v>503</v>
      </c>
      <c r="G62" s="5">
        <f>F62-SUM(Lapse_data!F62,Death_data!F62)</f>
        <v>468</v>
      </c>
      <c r="H62" s="5">
        <f>G62-SUM(Lapse_data!G62,Death_data!G62)</f>
        <v>428</v>
      </c>
      <c r="I62" s="5">
        <f>H62-SUM(Lapse_data!H62,Death_data!H62)</f>
        <v>384</v>
      </c>
      <c r="J62" s="5">
        <f>I62-SUM(Lapse_data!I62,Death_data!I62)</f>
        <v>365</v>
      </c>
      <c r="K62" s="5">
        <f>J62-SUM(Lapse_data!J62,Death_data!J62)</f>
        <v>347</v>
      </c>
      <c r="L62" s="5">
        <f>K62-SUM(Lapse_data!K62,Death_data!K62)</f>
        <v>327</v>
      </c>
      <c r="M62" s="5">
        <f>L62-SUM(Lapse_data!L62,Death_data!L62)</f>
        <v>269</v>
      </c>
      <c r="N62" s="5">
        <f>M62-SUM(Lapse_data!M62,Death_data!M62)</f>
        <v>248</v>
      </c>
      <c r="O62" s="5">
        <f xml:space="preserve"> N62 - SUM(Lapse_data!N62:Y62, Death_data!N62)</f>
        <v>130</v>
      </c>
      <c r="P62" s="5">
        <f xml:space="preserve"> O62 - SUM(Lapse_data!Z62:AK62, Death_data!O62)</f>
        <v>88</v>
      </c>
      <c r="Q62" s="5">
        <f xml:space="preserve"> P62 - SUM(Lapse_data!AL62:AW62, Death_data!P62)</f>
        <v>62</v>
      </c>
      <c r="R62" s="5">
        <f xml:space="preserve"> Q62 - SUM(Lapse_data!AX62:BI62, Death_data!Q62)</f>
        <v>40</v>
      </c>
      <c r="S62" s="5">
        <f xml:space="preserve"> R62 - SUM(Lapse_data!BJ62:BU62, Death_data!R62)</f>
        <v>40</v>
      </c>
      <c r="T62" s="5">
        <f xml:space="preserve"> S62 - SUM(Lapse_data!BV62:CG62, Death_data!S62)</f>
        <v>40</v>
      </c>
      <c r="U62" s="5">
        <f xml:space="preserve"> T62 - SUM(Lapse_data!CH62:CS62, Death_data!T62)</f>
        <v>40</v>
      </c>
      <c r="V62" s="5">
        <f xml:space="preserve"> U62 - SUM(Lapse_data!CT62:DE62, Death_data!U62)</f>
        <v>40</v>
      </c>
      <c r="W62" s="5">
        <f xml:space="preserve"> V62 - SUM(Lapse_data!DF62:DQ62, Death_data!V62)</f>
        <v>40</v>
      </c>
    </row>
    <row r="63" spans="1:23" x14ac:dyDescent="0.35">
      <c r="A63" s="1">
        <f t="shared" si="0"/>
        <v>43862</v>
      </c>
      <c r="B63" s="5">
        <f>Inception_data!B63</f>
        <v>977</v>
      </c>
      <c r="C63" s="5">
        <f>B63-SUM(Lapse_data!B63,Death_data!B63)</f>
        <v>871</v>
      </c>
      <c r="D63" s="5">
        <f>C63-SUM(Lapse_data!C63,Death_data!C63)</f>
        <v>716</v>
      </c>
      <c r="E63" s="5">
        <f>D63-SUM(Lapse_data!D63,Death_data!D63)</f>
        <v>614</v>
      </c>
      <c r="F63" s="5">
        <f>E63-SUM(Lapse_data!E63,Death_data!E63)</f>
        <v>546</v>
      </c>
      <c r="G63" s="5">
        <f>F63-SUM(Lapse_data!F63,Death_data!F63)</f>
        <v>501</v>
      </c>
      <c r="H63" s="5">
        <f>G63-SUM(Lapse_data!G63,Death_data!G63)</f>
        <v>460</v>
      </c>
      <c r="I63" s="5">
        <f>H63-SUM(Lapse_data!H63,Death_data!H63)</f>
        <v>430</v>
      </c>
      <c r="J63" s="5">
        <f>I63-SUM(Lapse_data!I63,Death_data!I63)</f>
        <v>416</v>
      </c>
      <c r="K63" s="5">
        <f>J63-SUM(Lapse_data!J63,Death_data!J63)</f>
        <v>400</v>
      </c>
      <c r="L63" s="5">
        <f>K63-SUM(Lapse_data!K63,Death_data!K63)</f>
        <v>319</v>
      </c>
      <c r="M63" s="5">
        <f>L63-SUM(Lapse_data!L63,Death_data!L63)</f>
        <v>293</v>
      </c>
      <c r="N63" s="5">
        <f>M63-SUM(Lapse_data!M63,Death_data!M63)</f>
        <v>277</v>
      </c>
      <c r="O63" s="5">
        <f xml:space="preserve"> N63 - SUM(Lapse_data!N63:Y63, Death_data!N63)</f>
        <v>135</v>
      </c>
      <c r="P63" s="5">
        <f xml:space="preserve"> O63 - SUM(Lapse_data!Z63:AK63, Death_data!O63)</f>
        <v>91</v>
      </c>
      <c r="Q63" s="5">
        <f xml:space="preserve"> P63 - SUM(Lapse_data!AL63:AW63, Death_data!P63)</f>
        <v>71</v>
      </c>
      <c r="R63" s="5">
        <f xml:space="preserve"> Q63 - SUM(Lapse_data!AX63:BI63, Death_data!Q63)</f>
        <v>57</v>
      </c>
      <c r="S63" s="5">
        <f xml:space="preserve"> R63 - SUM(Lapse_data!BJ63:BU63, Death_data!R63)</f>
        <v>57</v>
      </c>
      <c r="T63" s="5">
        <f xml:space="preserve"> S63 - SUM(Lapse_data!BV63:CG63, Death_data!S63)</f>
        <v>57</v>
      </c>
      <c r="U63" s="5">
        <f xml:space="preserve"> T63 - SUM(Lapse_data!CH63:CS63, Death_data!T63)</f>
        <v>57</v>
      </c>
      <c r="V63" s="5">
        <f xml:space="preserve"> U63 - SUM(Lapse_data!CT63:DE63, Death_data!U63)</f>
        <v>57</v>
      </c>
      <c r="W63" s="5">
        <f xml:space="preserve"> V63 - SUM(Lapse_data!DF63:DQ63, Death_data!V63)</f>
        <v>57</v>
      </c>
    </row>
    <row r="64" spans="1:23" x14ac:dyDescent="0.35">
      <c r="A64" s="1">
        <f t="shared" si="0"/>
        <v>43891</v>
      </c>
      <c r="B64" s="5">
        <f>Inception_data!B64</f>
        <v>975</v>
      </c>
      <c r="C64" s="5">
        <f>B64-SUM(Lapse_data!B64,Death_data!B64)</f>
        <v>868</v>
      </c>
      <c r="D64" s="5">
        <f>C64-SUM(Lapse_data!C64,Death_data!C64)</f>
        <v>742</v>
      </c>
      <c r="E64" s="5">
        <f>D64-SUM(Lapse_data!D64,Death_data!D64)</f>
        <v>636</v>
      </c>
      <c r="F64" s="5">
        <f>E64-SUM(Lapse_data!E64,Death_data!E64)</f>
        <v>581</v>
      </c>
      <c r="G64" s="5">
        <f>F64-SUM(Lapse_data!F64,Death_data!F64)</f>
        <v>524</v>
      </c>
      <c r="H64" s="5">
        <f>G64-SUM(Lapse_data!G64,Death_data!G64)</f>
        <v>482</v>
      </c>
      <c r="I64" s="5">
        <f>H64-SUM(Lapse_data!H64,Death_data!H64)</f>
        <v>462</v>
      </c>
      <c r="J64" s="5">
        <f>I64-SUM(Lapse_data!I64,Death_data!I64)</f>
        <v>438</v>
      </c>
      <c r="K64" s="5">
        <f>J64-SUM(Lapse_data!J64,Death_data!J64)</f>
        <v>366</v>
      </c>
      <c r="L64" s="5">
        <f>K64-SUM(Lapse_data!K64,Death_data!K64)</f>
        <v>340</v>
      </c>
      <c r="M64" s="5">
        <f>L64-SUM(Lapse_data!L64,Death_data!L64)</f>
        <v>311</v>
      </c>
      <c r="N64" s="5">
        <f>M64-SUM(Lapse_data!M64,Death_data!M64)</f>
        <v>285</v>
      </c>
      <c r="O64" s="5">
        <f xml:space="preserve"> N64 - SUM(Lapse_data!N64:Y64, Death_data!N64)</f>
        <v>162</v>
      </c>
      <c r="P64" s="5">
        <f xml:space="preserve"> O64 - SUM(Lapse_data!Z64:AK64, Death_data!O64)</f>
        <v>103</v>
      </c>
      <c r="Q64" s="5">
        <f xml:space="preserve"> P64 - SUM(Lapse_data!AL64:AW64, Death_data!P64)</f>
        <v>81</v>
      </c>
      <c r="R64" s="5">
        <f xml:space="preserve"> Q64 - SUM(Lapse_data!AX64:BI64, Death_data!Q64)</f>
        <v>65</v>
      </c>
      <c r="S64" s="5">
        <f xml:space="preserve"> R64 - SUM(Lapse_data!BJ64:BU64, Death_data!R64)</f>
        <v>65</v>
      </c>
      <c r="T64" s="5">
        <f xml:space="preserve"> S64 - SUM(Lapse_data!BV64:CG64, Death_data!S64)</f>
        <v>65</v>
      </c>
      <c r="U64" s="5">
        <f xml:space="preserve"> T64 - SUM(Lapse_data!CH64:CS64, Death_data!T64)</f>
        <v>65</v>
      </c>
      <c r="V64" s="5">
        <f xml:space="preserve"> U64 - SUM(Lapse_data!CT64:DE64, Death_data!U64)</f>
        <v>65</v>
      </c>
      <c r="W64" s="5">
        <f xml:space="preserve"> V64 - SUM(Lapse_data!DF64:DQ64, Death_data!V64)</f>
        <v>65</v>
      </c>
    </row>
    <row r="65" spans="1:23" x14ac:dyDescent="0.35">
      <c r="A65" s="1">
        <f t="shared" si="0"/>
        <v>43922</v>
      </c>
      <c r="B65" s="5">
        <f>Inception_data!B65</f>
        <v>1000</v>
      </c>
      <c r="C65" s="5">
        <f>B65-SUM(Lapse_data!B65,Death_data!B65)</f>
        <v>904</v>
      </c>
      <c r="D65" s="5">
        <f>C65-SUM(Lapse_data!C65,Death_data!C65)</f>
        <v>773</v>
      </c>
      <c r="E65" s="5">
        <f>D65-SUM(Lapse_data!D65,Death_data!D65)</f>
        <v>669</v>
      </c>
      <c r="F65" s="5">
        <f>E65-SUM(Lapse_data!E65,Death_data!E65)</f>
        <v>588</v>
      </c>
      <c r="G65" s="5">
        <f>F65-SUM(Lapse_data!F65,Death_data!F65)</f>
        <v>551</v>
      </c>
      <c r="H65" s="5">
        <f>G65-SUM(Lapse_data!G65,Death_data!G65)</f>
        <v>534</v>
      </c>
      <c r="I65" s="5">
        <f>H65-SUM(Lapse_data!H65,Death_data!H65)</f>
        <v>507</v>
      </c>
      <c r="J65" s="5">
        <f>I65-SUM(Lapse_data!I65,Death_data!I65)</f>
        <v>413</v>
      </c>
      <c r="K65" s="5">
        <f>J65-SUM(Lapse_data!J65,Death_data!J65)</f>
        <v>388</v>
      </c>
      <c r="L65" s="5">
        <f>K65-SUM(Lapse_data!K65,Death_data!K65)</f>
        <v>364</v>
      </c>
      <c r="M65" s="5">
        <f>L65-SUM(Lapse_data!L65,Death_data!L65)</f>
        <v>341</v>
      </c>
      <c r="N65" s="5">
        <f>M65-SUM(Lapse_data!M65,Death_data!M65)</f>
        <v>323</v>
      </c>
      <c r="O65" s="5">
        <f xml:space="preserve"> N65 - SUM(Lapse_data!N65:Y65, Death_data!N65)</f>
        <v>170</v>
      </c>
      <c r="P65" s="5">
        <f xml:space="preserve"> O65 - SUM(Lapse_data!Z65:AK65, Death_data!O65)</f>
        <v>87</v>
      </c>
      <c r="Q65" s="5">
        <f xml:space="preserve"> P65 - SUM(Lapse_data!AL65:AW65, Death_data!P65)</f>
        <v>64</v>
      </c>
      <c r="R65" s="5">
        <f xml:space="preserve"> Q65 - SUM(Lapse_data!AX65:BI65, Death_data!Q65)</f>
        <v>52</v>
      </c>
      <c r="S65" s="5">
        <f xml:space="preserve"> R65 - SUM(Lapse_data!BJ65:BU65, Death_data!R65)</f>
        <v>52</v>
      </c>
      <c r="T65" s="5">
        <f xml:space="preserve"> S65 - SUM(Lapse_data!BV65:CG65, Death_data!S65)</f>
        <v>52</v>
      </c>
      <c r="U65" s="5">
        <f xml:space="preserve"> T65 - SUM(Lapse_data!CH65:CS65, Death_data!T65)</f>
        <v>52</v>
      </c>
      <c r="V65" s="5">
        <f xml:space="preserve"> U65 - SUM(Lapse_data!CT65:DE65, Death_data!U65)</f>
        <v>52</v>
      </c>
      <c r="W65" s="5">
        <f xml:space="preserve"> V65 - SUM(Lapse_data!DF65:DQ65, Death_data!V65)</f>
        <v>52</v>
      </c>
    </row>
    <row r="66" spans="1:23" x14ac:dyDescent="0.35">
      <c r="A66" s="1">
        <f t="shared" si="0"/>
        <v>43952</v>
      </c>
      <c r="B66" s="5">
        <f>Inception_data!B66</f>
        <v>906</v>
      </c>
      <c r="C66" s="5">
        <f>B66-SUM(Lapse_data!B66,Death_data!B66)</f>
        <v>839</v>
      </c>
      <c r="D66" s="5">
        <f>C66-SUM(Lapse_data!C66,Death_data!C66)</f>
        <v>717</v>
      </c>
      <c r="E66" s="5">
        <f>D66-SUM(Lapse_data!D66,Death_data!D66)</f>
        <v>619</v>
      </c>
      <c r="F66" s="5">
        <f>E66-SUM(Lapse_data!E66,Death_data!E66)</f>
        <v>568</v>
      </c>
      <c r="G66" s="5">
        <f>F66-SUM(Lapse_data!F66,Death_data!F66)</f>
        <v>535</v>
      </c>
      <c r="H66" s="5">
        <f>G66-SUM(Lapse_data!G66,Death_data!G66)</f>
        <v>494</v>
      </c>
      <c r="I66" s="5">
        <f>H66-SUM(Lapse_data!H66,Death_data!H66)</f>
        <v>365</v>
      </c>
      <c r="J66" s="5">
        <f>I66-SUM(Lapse_data!I66,Death_data!I66)</f>
        <v>337</v>
      </c>
      <c r="K66" s="5">
        <f>J66-SUM(Lapse_data!J66,Death_data!J66)</f>
        <v>314</v>
      </c>
      <c r="L66" s="5">
        <f>K66-SUM(Lapse_data!K66,Death_data!K66)</f>
        <v>297</v>
      </c>
      <c r="M66" s="5">
        <f>L66-SUM(Lapse_data!L66,Death_data!L66)</f>
        <v>280</v>
      </c>
      <c r="N66" s="5">
        <f>M66-SUM(Lapse_data!M66,Death_data!M66)</f>
        <v>260</v>
      </c>
      <c r="O66" s="5">
        <f xml:space="preserve"> N66 - SUM(Lapse_data!N66:Y66, Death_data!N66)</f>
        <v>133</v>
      </c>
      <c r="P66" s="5">
        <f xml:space="preserve"> O66 - SUM(Lapse_data!Z66:AK66, Death_data!O66)</f>
        <v>82</v>
      </c>
      <c r="Q66" s="5">
        <f xml:space="preserve"> P66 - SUM(Lapse_data!AL66:AW66, Death_data!P66)</f>
        <v>60</v>
      </c>
      <c r="R66" s="5">
        <f xml:space="preserve"> Q66 - SUM(Lapse_data!AX66:BI66, Death_data!Q66)</f>
        <v>54</v>
      </c>
      <c r="S66" s="5">
        <f xml:space="preserve"> R66 - SUM(Lapse_data!BJ66:BU66, Death_data!R66)</f>
        <v>54</v>
      </c>
      <c r="T66" s="5">
        <f xml:space="preserve"> S66 - SUM(Lapse_data!BV66:CG66, Death_data!S66)</f>
        <v>54</v>
      </c>
      <c r="U66" s="5">
        <f xml:space="preserve"> T66 - SUM(Lapse_data!CH66:CS66, Death_data!T66)</f>
        <v>54</v>
      </c>
      <c r="V66" s="5">
        <f xml:space="preserve"> U66 - SUM(Lapse_data!CT66:DE66, Death_data!U66)</f>
        <v>54</v>
      </c>
      <c r="W66" s="5">
        <f xml:space="preserve"> V66 - SUM(Lapse_data!DF66:DQ66, Death_data!V66)</f>
        <v>54</v>
      </c>
    </row>
    <row r="67" spans="1:23" x14ac:dyDescent="0.35">
      <c r="A67" s="1">
        <f t="shared" si="0"/>
        <v>43983</v>
      </c>
      <c r="B67" s="5">
        <f>Inception_data!B67</f>
        <v>787</v>
      </c>
      <c r="C67" s="5">
        <f>B67-SUM(Lapse_data!B67,Death_data!B67)</f>
        <v>712</v>
      </c>
      <c r="D67" s="5">
        <f>C67-SUM(Lapse_data!C67,Death_data!C67)</f>
        <v>592</v>
      </c>
      <c r="E67" s="5">
        <f>D67-SUM(Lapse_data!D67,Death_data!D67)</f>
        <v>513</v>
      </c>
      <c r="F67" s="5">
        <f>E67-SUM(Lapse_data!E67,Death_data!E67)</f>
        <v>475</v>
      </c>
      <c r="G67" s="5">
        <f>F67-SUM(Lapse_data!F67,Death_data!F67)</f>
        <v>446</v>
      </c>
      <c r="H67" s="5">
        <f>G67-SUM(Lapse_data!G67,Death_data!G67)</f>
        <v>323</v>
      </c>
      <c r="I67" s="5">
        <f>H67-SUM(Lapse_data!H67,Death_data!H67)</f>
        <v>297</v>
      </c>
      <c r="J67" s="5">
        <f>I67-SUM(Lapse_data!I67,Death_data!I67)</f>
        <v>273</v>
      </c>
      <c r="K67" s="5">
        <f>J67-SUM(Lapse_data!J67,Death_data!J67)</f>
        <v>252</v>
      </c>
      <c r="L67" s="5">
        <f>K67-SUM(Lapse_data!K67,Death_data!K67)</f>
        <v>234</v>
      </c>
      <c r="M67" s="5">
        <f>L67-SUM(Lapse_data!L67,Death_data!L67)</f>
        <v>222</v>
      </c>
      <c r="N67" s="5">
        <f>M67-SUM(Lapse_data!M67,Death_data!M67)</f>
        <v>203</v>
      </c>
      <c r="O67" s="5">
        <f xml:space="preserve"> N67 - SUM(Lapse_data!N67:Y67, Death_data!N67)</f>
        <v>84</v>
      </c>
      <c r="P67" s="5">
        <f xml:space="preserve"> O67 - SUM(Lapse_data!Z67:AK67, Death_data!O67)</f>
        <v>52</v>
      </c>
      <c r="Q67" s="5">
        <f xml:space="preserve"> P67 - SUM(Lapse_data!AL67:AW67, Death_data!P67)</f>
        <v>35</v>
      </c>
      <c r="R67" s="5">
        <f xml:space="preserve"> Q67 - SUM(Lapse_data!AX67:BI67, Death_data!Q67)</f>
        <v>28</v>
      </c>
      <c r="S67" s="5">
        <f xml:space="preserve"> R67 - SUM(Lapse_data!BJ67:BU67, Death_data!R67)</f>
        <v>28</v>
      </c>
      <c r="T67" s="5">
        <f xml:space="preserve"> S67 - SUM(Lapse_data!BV67:CG67, Death_data!S67)</f>
        <v>28</v>
      </c>
      <c r="U67" s="5">
        <f xml:space="preserve"> T67 - SUM(Lapse_data!CH67:CS67, Death_data!T67)</f>
        <v>28</v>
      </c>
      <c r="V67" s="5">
        <f xml:space="preserve"> U67 - SUM(Lapse_data!CT67:DE67, Death_data!U67)</f>
        <v>28</v>
      </c>
      <c r="W67" s="5">
        <f xml:space="preserve"> V67 - SUM(Lapse_data!DF67:DQ67, Death_data!V67)</f>
        <v>28</v>
      </c>
    </row>
    <row r="68" spans="1:23" x14ac:dyDescent="0.35">
      <c r="A68" s="1">
        <f t="shared" ref="A68:A121" si="1">DATE(YEAR(A67),MONTH(A67)+1,DAY(A67))</f>
        <v>44013</v>
      </c>
      <c r="B68" s="5">
        <f>Inception_data!B68</f>
        <v>756</v>
      </c>
      <c r="C68" s="5">
        <f>B68-SUM(Lapse_data!B68,Death_data!B68)</f>
        <v>679</v>
      </c>
      <c r="D68" s="5">
        <f>C68-SUM(Lapse_data!C68,Death_data!C68)</f>
        <v>572</v>
      </c>
      <c r="E68" s="5">
        <f>D68-SUM(Lapse_data!D68,Death_data!D68)</f>
        <v>513</v>
      </c>
      <c r="F68" s="5">
        <f>E68-SUM(Lapse_data!E68,Death_data!E68)</f>
        <v>472</v>
      </c>
      <c r="G68" s="5">
        <f>F68-SUM(Lapse_data!F68,Death_data!F68)</f>
        <v>392</v>
      </c>
      <c r="H68" s="5">
        <f>G68-SUM(Lapse_data!G68,Death_data!G68)</f>
        <v>367</v>
      </c>
      <c r="I68" s="5">
        <f>H68-SUM(Lapse_data!H68,Death_data!H68)</f>
        <v>343</v>
      </c>
      <c r="J68" s="5">
        <f>I68-SUM(Lapse_data!I68,Death_data!I68)</f>
        <v>319</v>
      </c>
      <c r="K68" s="5">
        <f>J68-SUM(Lapse_data!J68,Death_data!J68)</f>
        <v>292</v>
      </c>
      <c r="L68" s="5">
        <f>K68-SUM(Lapse_data!K68,Death_data!K68)</f>
        <v>272</v>
      </c>
      <c r="M68" s="5">
        <f>L68-SUM(Lapse_data!L68,Death_data!L68)</f>
        <v>249</v>
      </c>
      <c r="N68" s="5">
        <f>M68-SUM(Lapse_data!M68,Death_data!M68)</f>
        <v>230</v>
      </c>
      <c r="O68" s="5">
        <f xml:space="preserve"> N68 - SUM(Lapse_data!N68:Y68, Death_data!N68)</f>
        <v>120</v>
      </c>
      <c r="P68" s="5">
        <f xml:space="preserve"> O68 - SUM(Lapse_data!Z68:AK68, Death_data!O68)</f>
        <v>81</v>
      </c>
      <c r="Q68" s="5">
        <f xml:space="preserve"> P68 - SUM(Lapse_data!AL68:AW68, Death_data!P68)</f>
        <v>61</v>
      </c>
      <c r="R68" s="5">
        <f xml:space="preserve"> Q68 - SUM(Lapse_data!AX68:BI68, Death_data!Q68)</f>
        <v>58</v>
      </c>
      <c r="S68" s="5">
        <f xml:space="preserve"> R68 - SUM(Lapse_data!BJ68:BU68, Death_data!R68)</f>
        <v>58</v>
      </c>
      <c r="T68" s="5">
        <f xml:space="preserve"> S68 - SUM(Lapse_data!BV68:CG68, Death_data!S68)</f>
        <v>58</v>
      </c>
      <c r="U68" s="5">
        <f xml:space="preserve"> T68 - SUM(Lapse_data!CH68:CS68, Death_data!T68)</f>
        <v>58</v>
      </c>
      <c r="V68" s="5">
        <f xml:space="preserve"> U68 - SUM(Lapse_data!CT68:DE68, Death_data!U68)</f>
        <v>58</v>
      </c>
      <c r="W68" s="5">
        <f xml:space="preserve"> V68 - SUM(Lapse_data!DF68:DQ68, Death_data!V68)</f>
        <v>58</v>
      </c>
    </row>
    <row r="69" spans="1:23" x14ac:dyDescent="0.35">
      <c r="A69" s="1">
        <f t="shared" si="1"/>
        <v>44044</v>
      </c>
      <c r="B69" s="5">
        <f>Inception_data!B69</f>
        <v>368</v>
      </c>
      <c r="C69" s="5">
        <f>B69-SUM(Lapse_data!B69,Death_data!B69)</f>
        <v>353</v>
      </c>
      <c r="D69" s="5">
        <f>C69-SUM(Lapse_data!C69,Death_data!C69)</f>
        <v>320</v>
      </c>
      <c r="E69" s="5">
        <f>D69-SUM(Lapse_data!D69,Death_data!D69)</f>
        <v>301</v>
      </c>
      <c r="F69" s="5">
        <f>E69-SUM(Lapse_data!E69,Death_data!E69)</f>
        <v>268</v>
      </c>
      <c r="G69" s="5">
        <f>F69-SUM(Lapse_data!F69,Death_data!F69)</f>
        <v>252</v>
      </c>
      <c r="H69" s="5">
        <f>G69-SUM(Lapse_data!G69,Death_data!G69)</f>
        <v>226</v>
      </c>
      <c r="I69" s="5">
        <f>H69-SUM(Lapse_data!H69,Death_data!H69)</f>
        <v>204</v>
      </c>
      <c r="J69" s="5">
        <f>I69-SUM(Lapse_data!I69,Death_data!I69)</f>
        <v>183</v>
      </c>
      <c r="K69" s="5">
        <f>J69-SUM(Lapse_data!J69,Death_data!J69)</f>
        <v>164</v>
      </c>
      <c r="L69" s="5">
        <f>K69-SUM(Lapse_data!K69,Death_data!K69)</f>
        <v>156</v>
      </c>
      <c r="M69" s="5">
        <f>L69-SUM(Lapse_data!L69,Death_data!L69)</f>
        <v>141</v>
      </c>
      <c r="N69" s="5">
        <f>M69-SUM(Lapse_data!M69,Death_data!M69)</f>
        <v>130</v>
      </c>
      <c r="O69" s="5">
        <f xml:space="preserve"> N69 - SUM(Lapse_data!N69:Y69, Death_data!N69)</f>
        <v>67</v>
      </c>
      <c r="P69" s="5">
        <f xml:space="preserve"> O69 - SUM(Lapse_data!Z69:AK69, Death_data!O69)</f>
        <v>41</v>
      </c>
      <c r="Q69" s="5">
        <f xml:space="preserve"> P69 - SUM(Lapse_data!AL69:AW69, Death_data!P69)</f>
        <v>23</v>
      </c>
      <c r="R69" s="5">
        <f xml:space="preserve"> Q69 - SUM(Lapse_data!AX69:BI69, Death_data!Q69)</f>
        <v>18</v>
      </c>
      <c r="S69" s="5">
        <f xml:space="preserve"> R69 - SUM(Lapse_data!BJ69:BU69, Death_data!R69)</f>
        <v>18</v>
      </c>
      <c r="T69" s="5">
        <f xml:space="preserve"> S69 - SUM(Lapse_data!BV69:CG69, Death_data!S69)</f>
        <v>18</v>
      </c>
      <c r="U69" s="5">
        <f xml:space="preserve"> T69 - SUM(Lapse_data!CH69:CS69, Death_data!T69)</f>
        <v>18</v>
      </c>
      <c r="V69" s="5">
        <f xml:space="preserve"> U69 - SUM(Lapse_data!CT69:DE69, Death_data!U69)</f>
        <v>18</v>
      </c>
      <c r="W69" s="5">
        <f xml:space="preserve"> V69 - SUM(Lapse_data!DF69:DQ69, Death_data!V69)</f>
        <v>18</v>
      </c>
    </row>
    <row r="70" spans="1:23" x14ac:dyDescent="0.35">
      <c r="A70" s="1">
        <f t="shared" si="1"/>
        <v>44075</v>
      </c>
      <c r="B70" s="5">
        <f>Inception_data!B70</f>
        <v>421</v>
      </c>
      <c r="C70" s="5">
        <f>B70-SUM(Lapse_data!B70,Death_data!B70)</f>
        <v>402</v>
      </c>
      <c r="D70" s="5">
        <f>C70-SUM(Lapse_data!C70,Death_data!C70)</f>
        <v>357</v>
      </c>
      <c r="E70" s="5">
        <f>D70-SUM(Lapse_data!D70,Death_data!D70)</f>
        <v>243</v>
      </c>
      <c r="F70" s="5">
        <f>E70-SUM(Lapse_data!E70,Death_data!E70)</f>
        <v>227</v>
      </c>
      <c r="G70" s="5">
        <f>F70-SUM(Lapse_data!F70,Death_data!F70)</f>
        <v>218</v>
      </c>
      <c r="H70" s="5">
        <f>G70-SUM(Lapse_data!G70,Death_data!G70)</f>
        <v>198</v>
      </c>
      <c r="I70" s="5">
        <f>H70-SUM(Lapse_data!H70,Death_data!H70)</f>
        <v>182</v>
      </c>
      <c r="J70" s="5">
        <f>I70-SUM(Lapse_data!I70,Death_data!I70)</f>
        <v>171</v>
      </c>
      <c r="K70" s="5">
        <f>J70-SUM(Lapse_data!J70,Death_data!J70)</f>
        <v>159</v>
      </c>
      <c r="L70" s="5">
        <f>K70-SUM(Lapse_data!K70,Death_data!K70)</f>
        <v>141</v>
      </c>
      <c r="M70" s="5">
        <f>L70-SUM(Lapse_data!L70,Death_data!L70)</f>
        <v>133</v>
      </c>
      <c r="N70" s="5">
        <f>M70-SUM(Lapse_data!M70,Death_data!M70)</f>
        <v>124</v>
      </c>
      <c r="O70" s="5">
        <f xml:space="preserve"> N70 - SUM(Lapse_data!N70:Y70, Death_data!N70)</f>
        <v>54</v>
      </c>
      <c r="P70" s="5">
        <f xml:space="preserve"> O70 - SUM(Lapse_data!Z70:AK70, Death_data!O70)</f>
        <v>26</v>
      </c>
      <c r="Q70" s="5">
        <f xml:space="preserve"> P70 - SUM(Lapse_data!AL70:AW70, Death_data!P70)</f>
        <v>15</v>
      </c>
      <c r="R70" s="5">
        <f xml:space="preserve"> Q70 - SUM(Lapse_data!AX70:BI70, Death_data!Q70)</f>
        <v>13</v>
      </c>
      <c r="S70" s="5">
        <f xml:space="preserve"> R70 - SUM(Lapse_data!BJ70:BU70, Death_data!R70)</f>
        <v>13</v>
      </c>
      <c r="T70" s="5">
        <f xml:space="preserve"> S70 - SUM(Lapse_data!BV70:CG70, Death_data!S70)</f>
        <v>13</v>
      </c>
      <c r="U70" s="5">
        <f xml:space="preserve"> T70 - SUM(Lapse_data!CH70:CS70, Death_data!T70)</f>
        <v>13</v>
      </c>
      <c r="V70" s="5">
        <f xml:space="preserve"> U70 - SUM(Lapse_data!CT70:DE70, Death_data!U70)</f>
        <v>13</v>
      </c>
      <c r="W70" s="5">
        <f xml:space="preserve"> V70 - SUM(Lapse_data!DF70:DQ70, Death_data!V70)</f>
        <v>13</v>
      </c>
    </row>
    <row r="71" spans="1:23" x14ac:dyDescent="0.35">
      <c r="A71" s="1">
        <f t="shared" si="1"/>
        <v>44105</v>
      </c>
      <c r="B71" s="5">
        <f>Inception_data!B71</f>
        <v>641</v>
      </c>
      <c r="C71" s="5">
        <f>B71-SUM(Lapse_data!B71,Death_data!B71)</f>
        <v>605</v>
      </c>
      <c r="D71" s="5">
        <f>C71-SUM(Lapse_data!C71,Death_data!C71)</f>
        <v>419</v>
      </c>
      <c r="E71" s="5">
        <f>D71-SUM(Lapse_data!D71,Death_data!D71)</f>
        <v>388</v>
      </c>
      <c r="F71" s="5">
        <f>E71-SUM(Lapse_data!E71,Death_data!E71)</f>
        <v>360</v>
      </c>
      <c r="G71" s="5">
        <f>F71-SUM(Lapse_data!F71,Death_data!F71)</f>
        <v>329</v>
      </c>
      <c r="H71" s="5">
        <f>G71-SUM(Lapse_data!G71,Death_data!G71)</f>
        <v>296</v>
      </c>
      <c r="I71" s="5">
        <f>H71-SUM(Lapse_data!H71,Death_data!H71)</f>
        <v>271</v>
      </c>
      <c r="J71" s="5">
        <f>I71-SUM(Lapse_data!I71,Death_data!I71)</f>
        <v>242</v>
      </c>
      <c r="K71" s="5">
        <f>J71-SUM(Lapse_data!J71,Death_data!J71)</f>
        <v>225</v>
      </c>
      <c r="L71" s="5">
        <f>K71-SUM(Lapse_data!K71,Death_data!K71)</f>
        <v>205</v>
      </c>
      <c r="M71" s="5">
        <f>L71-SUM(Lapse_data!L71,Death_data!L71)</f>
        <v>190</v>
      </c>
      <c r="N71" s="5">
        <f>M71-SUM(Lapse_data!M71,Death_data!M71)</f>
        <v>172</v>
      </c>
      <c r="O71" s="5">
        <f xml:space="preserve"> N71 - SUM(Lapse_data!N71:Y71, Death_data!N71)</f>
        <v>83</v>
      </c>
      <c r="P71" s="5">
        <f xml:space="preserve"> O71 - SUM(Lapse_data!Z71:AK71, Death_data!O71)</f>
        <v>51</v>
      </c>
      <c r="Q71" s="5">
        <f xml:space="preserve"> P71 - SUM(Lapse_data!AL71:AW71, Death_data!P71)</f>
        <v>38</v>
      </c>
      <c r="R71" s="5">
        <f xml:space="preserve"> Q71 - SUM(Lapse_data!AX71:BI71, Death_data!Q71)</f>
        <v>35</v>
      </c>
      <c r="S71" s="5">
        <f xml:space="preserve"> R71 - SUM(Lapse_data!BJ71:BU71, Death_data!R71)</f>
        <v>35</v>
      </c>
      <c r="T71" s="5">
        <f xml:space="preserve"> S71 - SUM(Lapse_data!BV71:CG71, Death_data!S71)</f>
        <v>35</v>
      </c>
      <c r="U71" s="5">
        <f xml:space="preserve"> T71 - SUM(Lapse_data!CH71:CS71, Death_data!T71)</f>
        <v>35</v>
      </c>
      <c r="V71" s="5">
        <f xml:space="preserve"> U71 - SUM(Lapse_data!CT71:DE71, Death_data!U71)</f>
        <v>35</v>
      </c>
      <c r="W71" s="5">
        <f xml:space="preserve"> V71 - SUM(Lapse_data!DF71:DQ71, Death_data!V71)</f>
        <v>35</v>
      </c>
    </row>
    <row r="72" spans="1:23" x14ac:dyDescent="0.35">
      <c r="A72" s="1">
        <f t="shared" si="1"/>
        <v>44136</v>
      </c>
      <c r="B72" s="5">
        <f>Inception_data!B72</f>
        <v>396</v>
      </c>
      <c r="C72" s="5">
        <f>B72-SUM(Lapse_data!B72,Death_data!B72)</f>
        <v>360</v>
      </c>
      <c r="D72" s="5">
        <f>C72-SUM(Lapse_data!C72,Death_data!C72)</f>
        <v>320</v>
      </c>
      <c r="E72" s="5">
        <f>D72-SUM(Lapse_data!D72,Death_data!D72)</f>
        <v>288</v>
      </c>
      <c r="F72" s="5">
        <f>E72-SUM(Lapse_data!E72,Death_data!E72)</f>
        <v>264</v>
      </c>
      <c r="G72" s="5">
        <f>F72-SUM(Lapse_data!F72,Death_data!F72)</f>
        <v>241</v>
      </c>
      <c r="H72" s="5">
        <f>G72-SUM(Lapse_data!G72,Death_data!G72)</f>
        <v>215</v>
      </c>
      <c r="I72" s="5">
        <f>H72-SUM(Lapse_data!H72,Death_data!H72)</f>
        <v>201</v>
      </c>
      <c r="J72" s="5">
        <f>I72-SUM(Lapse_data!I72,Death_data!I72)</f>
        <v>177</v>
      </c>
      <c r="K72" s="5">
        <f>J72-SUM(Lapse_data!J72,Death_data!J72)</f>
        <v>170</v>
      </c>
      <c r="L72" s="5">
        <f>K72-SUM(Lapse_data!K72,Death_data!K72)</f>
        <v>164</v>
      </c>
      <c r="M72" s="5">
        <f>L72-SUM(Lapse_data!L72,Death_data!L72)</f>
        <v>152</v>
      </c>
      <c r="N72" s="5">
        <f>M72-SUM(Lapse_data!M72,Death_data!M72)</f>
        <v>141</v>
      </c>
      <c r="O72" s="5">
        <f xml:space="preserve"> N72 - SUM(Lapse_data!N72:Y72, Death_data!N72)</f>
        <v>70</v>
      </c>
      <c r="P72" s="5">
        <f xml:space="preserve"> O72 - SUM(Lapse_data!Z72:AK72, Death_data!O72)</f>
        <v>40</v>
      </c>
      <c r="Q72" s="5">
        <f xml:space="preserve"> P72 - SUM(Lapse_data!AL72:AW72, Death_data!P72)</f>
        <v>22</v>
      </c>
      <c r="R72" s="5">
        <f xml:space="preserve"> Q72 - SUM(Lapse_data!AX72:BI72, Death_data!Q72)</f>
        <v>21</v>
      </c>
      <c r="S72" s="5">
        <f xml:space="preserve"> R72 - SUM(Lapse_data!BJ72:BU72, Death_data!R72)</f>
        <v>21</v>
      </c>
      <c r="T72" s="5">
        <f xml:space="preserve"> S72 - SUM(Lapse_data!BV72:CG72, Death_data!S72)</f>
        <v>21</v>
      </c>
      <c r="U72" s="5">
        <f xml:space="preserve"> T72 - SUM(Lapse_data!CH72:CS72, Death_data!T72)</f>
        <v>21</v>
      </c>
      <c r="V72" s="5">
        <f xml:space="preserve"> U72 - SUM(Lapse_data!CT72:DE72, Death_data!U72)</f>
        <v>21</v>
      </c>
      <c r="W72" s="5">
        <f xml:space="preserve"> V72 - SUM(Lapse_data!DF72:DQ72, Death_data!V72)</f>
        <v>21</v>
      </c>
    </row>
    <row r="73" spans="1:23" x14ac:dyDescent="0.35">
      <c r="A73" s="1">
        <f t="shared" si="1"/>
        <v>44166</v>
      </c>
      <c r="B73" s="5">
        <f>Inception_data!B73</f>
        <v>170</v>
      </c>
      <c r="C73" s="5">
        <f>B73-SUM(Lapse_data!B73,Death_data!B73)</f>
        <v>152</v>
      </c>
      <c r="D73" s="5">
        <f>C73-SUM(Lapse_data!C73,Death_data!C73)</f>
        <v>137</v>
      </c>
      <c r="E73" s="5">
        <f>D73-SUM(Lapse_data!D73,Death_data!D73)</f>
        <v>118</v>
      </c>
      <c r="F73" s="5">
        <f>E73-SUM(Lapse_data!E73,Death_data!E73)</f>
        <v>114</v>
      </c>
      <c r="G73" s="5">
        <f>F73-SUM(Lapse_data!F73,Death_data!F73)</f>
        <v>107</v>
      </c>
      <c r="H73" s="5">
        <f>G73-SUM(Lapse_data!G73,Death_data!G73)</f>
        <v>102</v>
      </c>
      <c r="I73" s="5">
        <f>H73-SUM(Lapse_data!H73,Death_data!H73)</f>
        <v>98</v>
      </c>
      <c r="J73" s="5">
        <f>I73-SUM(Lapse_data!I73,Death_data!I73)</f>
        <v>93</v>
      </c>
      <c r="K73" s="5">
        <f>J73-SUM(Lapse_data!J73,Death_data!J73)</f>
        <v>90</v>
      </c>
      <c r="L73" s="5">
        <f>K73-SUM(Lapse_data!K73,Death_data!K73)</f>
        <v>81</v>
      </c>
      <c r="M73" s="5">
        <f>L73-SUM(Lapse_data!L73,Death_data!L73)</f>
        <v>78</v>
      </c>
      <c r="N73" s="5">
        <f>M73-SUM(Lapse_data!M73,Death_data!M73)</f>
        <v>73</v>
      </c>
      <c r="O73" s="5">
        <f xml:space="preserve"> N73 - SUM(Lapse_data!N73:Y73, Death_data!N73)</f>
        <v>33</v>
      </c>
      <c r="P73" s="5">
        <f xml:space="preserve"> O73 - SUM(Lapse_data!Z73:AK73, Death_data!O73)</f>
        <v>13</v>
      </c>
      <c r="Q73" s="5">
        <f xml:space="preserve"> P73 - SUM(Lapse_data!AL73:AW73, Death_data!P73)</f>
        <v>2</v>
      </c>
      <c r="R73" s="5">
        <f xml:space="preserve"> Q73 - SUM(Lapse_data!AX73:BI73, Death_data!Q73)</f>
        <v>-2</v>
      </c>
      <c r="S73" s="5">
        <f xml:space="preserve"> R73 - SUM(Lapse_data!BJ73:BU73, Death_data!R73)</f>
        <v>-2</v>
      </c>
      <c r="T73" s="5">
        <f xml:space="preserve"> S73 - SUM(Lapse_data!BV73:CG73, Death_data!S73)</f>
        <v>-2</v>
      </c>
      <c r="U73" s="5">
        <f xml:space="preserve"> T73 - SUM(Lapse_data!CH73:CS73, Death_data!T73)</f>
        <v>-2</v>
      </c>
      <c r="V73" s="5">
        <f xml:space="preserve"> U73 - SUM(Lapse_data!CT73:DE73, Death_data!U73)</f>
        <v>-2</v>
      </c>
      <c r="W73" s="5">
        <f xml:space="preserve"> V73 - SUM(Lapse_data!DF73:DQ73, Death_data!V73)</f>
        <v>-2</v>
      </c>
    </row>
    <row r="74" spans="1:23" x14ac:dyDescent="0.35">
      <c r="A74" s="4">
        <f t="shared" si="1"/>
        <v>44197</v>
      </c>
      <c r="B74" s="5">
        <f>Inception_data!B74</f>
        <v>166</v>
      </c>
      <c r="C74" s="5">
        <f>B74-SUM(Lapse_data!B74,Death_data!B74)</f>
        <v>157</v>
      </c>
      <c r="D74" s="5">
        <f>C74-SUM(Lapse_data!C74,Death_data!C74)</f>
        <v>145</v>
      </c>
      <c r="E74" s="5">
        <f>D74-SUM(Lapse_data!D74,Death_data!D74)</f>
        <v>132</v>
      </c>
      <c r="F74" s="5">
        <f>E74-SUM(Lapse_data!E74,Death_data!E74)</f>
        <v>122</v>
      </c>
      <c r="G74" s="5">
        <f>F74-SUM(Lapse_data!F74,Death_data!F74)</f>
        <v>116</v>
      </c>
      <c r="H74" s="5">
        <f>G74-SUM(Lapse_data!G74,Death_data!G74)</f>
        <v>108</v>
      </c>
      <c r="I74" s="5">
        <f>H74-SUM(Lapse_data!H74,Death_data!H74)</f>
        <v>99</v>
      </c>
      <c r="J74" s="5">
        <f>I74-SUM(Lapse_data!I74,Death_data!I74)</f>
        <v>88</v>
      </c>
      <c r="K74" s="5">
        <f>J74-SUM(Lapse_data!J74,Death_data!J74)</f>
        <v>80</v>
      </c>
      <c r="L74" s="5">
        <f>K74-SUM(Lapse_data!K74,Death_data!K74)</f>
        <v>72</v>
      </c>
      <c r="M74" s="5">
        <f>L74-SUM(Lapse_data!L74,Death_data!L74)</f>
        <v>67</v>
      </c>
      <c r="N74" s="5">
        <f>M74-SUM(Lapse_data!M74,Death_data!M74)</f>
        <v>62</v>
      </c>
      <c r="O74" s="5">
        <f xml:space="preserve"> N74 - SUM(Lapse_data!N74:Y74, Death_data!N74)</f>
        <v>29</v>
      </c>
      <c r="P74" s="5">
        <f xml:space="preserve"> O74 - SUM(Lapse_data!Z74:AK74, Death_data!O74)</f>
        <v>14</v>
      </c>
      <c r="Q74" s="5">
        <f xml:space="preserve"> P74 - SUM(Lapse_data!AL74:AW74, Death_data!P74)</f>
        <v>4</v>
      </c>
      <c r="R74" s="5">
        <f xml:space="preserve"> Q74 - SUM(Lapse_data!AX74:BI74, Death_data!Q74)</f>
        <v>4</v>
      </c>
      <c r="S74" s="5">
        <f xml:space="preserve"> R74 - SUM(Lapse_data!BJ74:BU74, Death_data!R74)</f>
        <v>4</v>
      </c>
      <c r="T74" s="5">
        <f xml:space="preserve"> S74 - SUM(Lapse_data!BV74:CG74, Death_data!S74)</f>
        <v>4</v>
      </c>
      <c r="U74" s="5">
        <f xml:space="preserve"> T74 - SUM(Lapse_data!CH74:CS74, Death_data!T74)</f>
        <v>4</v>
      </c>
      <c r="V74" s="5">
        <f xml:space="preserve"> U74 - SUM(Lapse_data!CT74:DE74, Death_data!U74)</f>
        <v>4</v>
      </c>
      <c r="W74" s="5">
        <f xml:space="preserve"> V74 - SUM(Lapse_data!DF74:DQ74, Death_data!V74)</f>
        <v>4</v>
      </c>
    </row>
    <row r="75" spans="1:23" x14ac:dyDescent="0.35">
      <c r="A75" s="1">
        <f t="shared" si="1"/>
        <v>44228</v>
      </c>
      <c r="B75" s="5">
        <f>Inception_data!B75</f>
        <v>250</v>
      </c>
      <c r="C75" s="5">
        <f>B75-SUM(Lapse_data!B75,Death_data!B75)</f>
        <v>225</v>
      </c>
      <c r="D75" s="5">
        <f>C75-SUM(Lapse_data!C75,Death_data!C75)</f>
        <v>202</v>
      </c>
      <c r="E75" s="5">
        <f>D75-SUM(Lapse_data!D75,Death_data!D75)</f>
        <v>159</v>
      </c>
      <c r="F75" s="5">
        <f>E75-SUM(Lapse_data!E75,Death_data!E75)</f>
        <v>142</v>
      </c>
      <c r="G75" s="5">
        <f>F75-SUM(Lapse_data!F75,Death_data!F75)</f>
        <v>132</v>
      </c>
      <c r="H75" s="5">
        <f>G75-SUM(Lapse_data!G75,Death_data!G75)</f>
        <v>121</v>
      </c>
      <c r="I75" s="5">
        <f>H75-SUM(Lapse_data!H75,Death_data!H75)</f>
        <v>107</v>
      </c>
      <c r="J75" s="5">
        <f>I75-SUM(Lapse_data!I75,Death_data!I75)</f>
        <v>96</v>
      </c>
      <c r="K75" s="5">
        <f>J75-SUM(Lapse_data!J75,Death_data!J75)</f>
        <v>92</v>
      </c>
      <c r="L75" s="5">
        <f>K75-SUM(Lapse_data!K75,Death_data!K75)</f>
        <v>88</v>
      </c>
      <c r="M75" s="5">
        <f>L75-SUM(Lapse_data!L75,Death_data!L75)</f>
        <v>78</v>
      </c>
      <c r="N75" s="5">
        <f>M75-SUM(Lapse_data!M75,Death_data!M75)</f>
        <v>70</v>
      </c>
      <c r="O75" s="5">
        <f xml:space="preserve"> N75 - SUM(Lapse_data!N75:Y75, Death_data!N75)</f>
        <v>29</v>
      </c>
      <c r="P75" s="5">
        <f xml:space="preserve"> O75 - SUM(Lapse_data!Z75:AK75, Death_data!O75)</f>
        <v>17</v>
      </c>
      <c r="Q75" s="5">
        <f xml:space="preserve"> P75 - SUM(Lapse_data!AL75:AW75, Death_data!P75)</f>
        <v>10</v>
      </c>
      <c r="R75" s="5">
        <f xml:space="preserve"> Q75 - SUM(Lapse_data!AX75:BI75, Death_data!Q75)</f>
        <v>10</v>
      </c>
      <c r="S75" s="5">
        <f xml:space="preserve"> R75 - SUM(Lapse_data!BJ75:BU75, Death_data!R75)</f>
        <v>10</v>
      </c>
      <c r="T75" s="5">
        <f xml:space="preserve"> S75 - SUM(Lapse_data!BV75:CG75, Death_data!S75)</f>
        <v>10</v>
      </c>
      <c r="U75" s="5">
        <f xml:space="preserve"> T75 - SUM(Lapse_data!CH75:CS75, Death_data!T75)</f>
        <v>10</v>
      </c>
      <c r="V75" s="5">
        <f xml:space="preserve"> U75 - SUM(Lapse_data!CT75:DE75, Death_data!U75)</f>
        <v>10</v>
      </c>
      <c r="W75" s="5">
        <f xml:space="preserve"> V75 - SUM(Lapse_data!DF75:DQ75, Death_data!V75)</f>
        <v>10</v>
      </c>
    </row>
    <row r="76" spans="1:23" x14ac:dyDescent="0.35">
      <c r="A76" s="1">
        <f t="shared" si="1"/>
        <v>44256</v>
      </c>
      <c r="B76" s="5">
        <f>Inception_data!B76</f>
        <v>259</v>
      </c>
      <c r="C76" s="5">
        <f>B76-SUM(Lapse_data!B76,Death_data!B76)</f>
        <v>240</v>
      </c>
      <c r="D76" s="5">
        <f>C76-SUM(Lapse_data!C76,Death_data!C76)</f>
        <v>223</v>
      </c>
      <c r="E76" s="5">
        <f>D76-SUM(Lapse_data!D76,Death_data!D76)</f>
        <v>184</v>
      </c>
      <c r="F76" s="5">
        <f>E76-SUM(Lapse_data!E76,Death_data!E76)</f>
        <v>176</v>
      </c>
      <c r="G76" s="5">
        <f>F76-SUM(Lapse_data!F76,Death_data!F76)</f>
        <v>161</v>
      </c>
      <c r="H76" s="5">
        <f>G76-SUM(Lapse_data!G76,Death_data!G76)</f>
        <v>141</v>
      </c>
      <c r="I76" s="5">
        <f>H76-SUM(Lapse_data!H76,Death_data!H76)</f>
        <v>131</v>
      </c>
      <c r="J76" s="5">
        <f>I76-SUM(Lapse_data!I76,Death_data!I76)</f>
        <v>124</v>
      </c>
      <c r="K76" s="5">
        <f>J76-SUM(Lapse_data!J76,Death_data!J76)</f>
        <v>108</v>
      </c>
      <c r="L76" s="5">
        <f>K76-SUM(Lapse_data!K76,Death_data!K76)</f>
        <v>98</v>
      </c>
      <c r="M76" s="5">
        <f>L76-SUM(Lapse_data!L76,Death_data!L76)</f>
        <v>94</v>
      </c>
      <c r="N76" s="5">
        <f>M76-SUM(Lapse_data!M76,Death_data!M76)</f>
        <v>88</v>
      </c>
      <c r="O76" s="5">
        <f xml:space="preserve"> N76 - SUM(Lapse_data!N76:Y76, Death_data!N76)</f>
        <v>49</v>
      </c>
      <c r="P76" s="5">
        <f xml:space="preserve"> O76 - SUM(Lapse_data!Z76:AK76, Death_data!O76)</f>
        <v>30</v>
      </c>
      <c r="Q76" s="5">
        <f xml:space="preserve"> P76 - SUM(Lapse_data!AL76:AW76, Death_data!P76)</f>
        <v>25</v>
      </c>
      <c r="R76" s="5">
        <f xml:space="preserve"> Q76 - SUM(Lapse_data!AX76:BI76, Death_data!Q76)</f>
        <v>25</v>
      </c>
      <c r="S76" s="5">
        <f xml:space="preserve"> R76 - SUM(Lapse_data!BJ76:BU76, Death_data!R76)</f>
        <v>25</v>
      </c>
      <c r="T76" s="5">
        <f xml:space="preserve"> S76 - SUM(Lapse_data!BV76:CG76, Death_data!S76)</f>
        <v>25</v>
      </c>
      <c r="U76" s="5">
        <f xml:space="preserve"> T76 - SUM(Lapse_data!CH76:CS76, Death_data!T76)</f>
        <v>25</v>
      </c>
      <c r="V76" s="5">
        <f xml:space="preserve"> U76 - SUM(Lapse_data!CT76:DE76, Death_data!U76)</f>
        <v>25</v>
      </c>
      <c r="W76" s="5">
        <f xml:space="preserve"> V76 - SUM(Lapse_data!DF76:DQ76, Death_data!V76)</f>
        <v>25</v>
      </c>
    </row>
    <row r="77" spans="1:23" x14ac:dyDescent="0.35">
      <c r="A77" s="1">
        <f t="shared" si="1"/>
        <v>44287</v>
      </c>
      <c r="B77" s="5">
        <f>Inception_data!B77</f>
        <v>187</v>
      </c>
      <c r="C77" s="5">
        <f>B77-SUM(Lapse_data!B77,Death_data!B77)</f>
        <v>168</v>
      </c>
      <c r="D77" s="5">
        <f>C77-SUM(Lapse_data!C77,Death_data!C77)</f>
        <v>149</v>
      </c>
      <c r="E77" s="5">
        <f>D77-SUM(Lapse_data!D77,Death_data!D77)</f>
        <v>122</v>
      </c>
      <c r="F77" s="5">
        <f>E77-SUM(Lapse_data!E77,Death_data!E77)</f>
        <v>110</v>
      </c>
      <c r="G77" s="5">
        <f>F77-SUM(Lapse_data!F77,Death_data!F77)</f>
        <v>99</v>
      </c>
      <c r="H77" s="5">
        <f>G77-SUM(Lapse_data!G77,Death_data!G77)</f>
        <v>92</v>
      </c>
      <c r="I77" s="5">
        <f>H77-SUM(Lapse_data!H77,Death_data!H77)</f>
        <v>82</v>
      </c>
      <c r="J77" s="5">
        <f>I77-SUM(Lapse_data!I77,Death_data!I77)</f>
        <v>79</v>
      </c>
      <c r="K77" s="5">
        <f>J77-SUM(Lapse_data!J77,Death_data!J77)</f>
        <v>70</v>
      </c>
      <c r="L77" s="5">
        <f>K77-SUM(Lapse_data!K77,Death_data!K77)</f>
        <v>68</v>
      </c>
      <c r="M77" s="5">
        <f>L77-SUM(Lapse_data!L77,Death_data!L77)</f>
        <v>58</v>
      </c>
      <c r="N77" s="5">
        <f>M77-SUM(Lapse_data!M77,Death_data!M77)</f>
        <v>52</v>
      </c>
      <c r="O77" s="5">
        <f xml:space="preserve"> N77 - SUM(Lapse_data!N77:Y77, Death_data!N77)</f>
        <v>20</v>
      </c>
      <c r="P77" s="5">
        <f xml:space="preserve"> O77 - SUM(Lapse_data!Z77:AK77, Death_data!O77)</f>
        <v>11</v>
      </c>
      <c r="Q77" s="5">
        <f xml:space="preserve"> P77 - SUM(Lapse_data!AL77:AW77, Death_data!P77)</f>
        <v>8</v>
      </c>
      <c r="R77" s="5">
        <f xml:space="preserve"> Q77 - SUM(Lapse_data!AX77:BI77, Death_data!Q77)</f>
        <v>8</v>
      </c>
      <c r="S77" s="5">
        <f xml:space="preserve"> R77 - SUM(Lapse_data!BJ77:BU77, Death_data!R77)</f>
        <v>8</v>
      </c>
      <c r="T77" s="5">
        <f xml:space="preserve"> S77 - SUM(Lapse_data!BV77:CG77, Death_data!S77)</f>
        <v>8</v>
      </c>
      <c r="U77" s="5">
        <f xml:space="preserve"> T77 - SUM(Lapse_data!CH77:CS77, Death_data!T77)</f>
        <v>8</v>
      </c>
      <c r="V77" s="5">
        <f xml:space="preserve"> U77 - SUM(Lapse_data!CT77:DE77, Death_data!U77)</f>
        <v>8</v>
      </c>
      <c r="W77" s="5">
        <f xml:space="preserve"> V77 - SUM(Lapse_data!DF77:DQ77, Death_data!V77)</f>
        <v>8</v>
      </c>
    </row>
    <row r="78" spans="1:23" x14ac:dyDescent="0.35">
      <c r="A78" s="1">
        <f t="shared" si="1"/>
        <v>44317</v>
      </c>
      <c r="B78" s="5">
        <f>Inception_data!B78</f>
        <v>268</v>
      </c>
      <c r="C78" s="5">
        <f>B78-SUM(Lapse_data!B78,Death_data!B78)</f>
        <v>231</v>
      </c>
      <c r="D78" s="5">
        <f>C78-SUM(Lapse_data!C78,Death_data!C78)</f>
        <v>216</v>
      </c>
      <c r="E78" s="5">
        <f>D78-SUM(Lapse_data!D78,Death_data!D78)</f>
        <v>163</v>
      </c>
      <c r="F78" s="5">
        <f>E78-SUM(Lapse_data!E78,Death_data!E78)</f>
        <v>148</v>
      </c>
      <c r="G78" s="5">
        <f>F78-SUM(Lapse_data!F78,Death_data!F78)</f>
        <v>126</v>
      </c>
      <c r="H78" s="5">
        <f>G78-SUM(Lapse_data!G78,Death_data!G78)</f>
        <v>111</v>
      </c>
      <c r="I78" s="5">
        <f>H78-SUM(Lapse_data!H78,Death_data!H78)</f>
        <v>101</v>
      </c>
      <c r="J78" s="5">
        <f>I78-SUM(Lapse_data!I78,Death_data!I78)</f>
        <v>87</v>
      </c>
      <c r="K78" s="5">
        <f>J78-SUM(Lapse_data!J78,Death_data!J78)</f>
        <v>82</v>
      </c>
      <c r="L78" s="5">
        <f>K78-SUM(Lapse_data!K78,Death_data!K78)</f>
        <v>74</v>
      </c>
      <c r="M78" s="5">
        <f>L78-SUM(Lapse_data!L78,Death_data!L78)</f>
        <v>68</v>
      </c>
      <c r="N78" s="5">
        <f>M78-SUM(Lapse_data!M78,Death_data!M78)</f>
        <v>64</v>
      </c>
      <c r="O78" s="5">
        <f xml:space="preserve"> N78 - SUM(Lapse_data!N78:Y78, Death_data!N78)</f>
        <v>30</v>
      </c>
      <c r="P78" s="5">
        <f xml:space="preserve"> O78 - SUM(Lapse_data!Z78:AK78, Death_data!O78)</f>
        <v>18</v>
      </c>
      <c r="Q78" s="5">
        <f xml:space="preserve"> P78 - SUM(Lapse_data!AL78:AW78, Death_data!P78)</f>
        <v>13</v>
      </c>
      <c r="R78" s="5">
        <f xml:space="preserve"> Q78 - SUM(Lapse_data!AX78:BI78, Death_data!Q78)</f>
        <v>13</v>
      </c>
      <c r="S78" s="5">
        <f xml:space="preserve"> R78 - SUM(Lapse_data!BJ78:BU78, Death_data!R78)</f>
        <v>13</v>
      </c>
      <c r="T78" s="5">
        <f xml:space="preserve"> S78 - SUM(Lapse_data!BV78:CG78, Death_data!S78)</f>
        <v>13</v>
      </c>
      <c r="U78" s="5">
        <f xml:space="preserve"> T78 - SUM(Lapse_data!CH78:CS78, Death_data!T78)</f>
        <v>13</v>
      </c>
      <c r="V78" s="5">
        <f xml:space="preserve"> U78 - SUM(Lapse_data!CT78:DE78, Death_data!U78)</f>
        <v>13</v>
      </c>
      <c r="W78" s="5">
        <f xml:space="preserve"> V78 - SUM(Lapse_data!DF78:DQ78, Death_data!V78)</f>
        <v>13</v>
      </c>
    </row>
    <row r="79" spans="1:23" x14ac:dyDescent="0.35">
      <c r="A79" s="1">
        <f t="shared" si="1"/>
        <v>44348</v>
      </c>
      <c r="B79" s="5">
        <f>Inception_data!B79</f>
        <v>275</v>
      </c>
      <c r="C79" s="5">
        <f>B79-SUM(Lapse_data!B79,Death_data!B79)</f>
        <v>252</v>
      </c>
      <c r="D79" s="5">
        <f>C79-SUM(Lapse_data!C79,Death_data!C79)</f>
        <v>235</v>
      </c>
      <c r="E79" s="5">
        <f>D79-SUM(Lapse_data!D79,Death_data!D79)</f>
        <v>194</v>
      </c>
      <c r="F79" s="5">
        <f>E79-SUM(Lapse_data!E79,Death_data!E79)</f>
        <v>174</v>
      </c>
      <c r="G79" s="5">
        <f>F79-SUM(Lapse_data!F79,Death_data!F79)</f>
        <v>156</v>
      </c>
      <c r="H79" s="5">
        <f>G79-SUM(Lapse_data!G79,Death_data!G79)</f>
        <v>143</v>
      </c>
      <c r="I79" s="5">
        <f>H79-SUM(Lapse_data!H79,Death_data!H79)</f>
        <v>133</v>
      </c>
      <c r="J79" s="5">
        <f>I79-SUM(Lapse_data!I79,Death_data!I79)</f>
        <v>119</v>
      </c>
      <c r="K79" s="5">
        <f>J79-SUM(Lapse_data!J79,Death_data!J79)</f>
        <v>106</v>
      </c>
      <c r="L79" s="5">
        <f>K79-SUM(Lapse_data!K79,Death_data!K79)</f>
        <v>98</v>
      </c>
      <c r="M79" s="5">
        <f>L79-SUM(Lapse_data!L79,Death_data!L79)</f>
        <v>86</v>
      </c>
      <c r="N79" s="5">
        <f>M79-SUM(Lapse_data!M79,Death_data!M79)</f>
        <v>83</v>
      </c>
      <c r="O79" s="5">
        <f xml:space="preserve"> N79 - SUM(Lapse_data!N79:Y79, Death_data!N79)</f>
        <v>32</v>
      </c>
      <c r="P79" s="5">
        <f xml:space="preserve"> O79 - SUM(Lapse_data!Z79:AK79, Death_data!O79)</f>
        <v>17</v>
      </c>
      <c r="Q79" s="5">
        <f xml:space="preserve"> P79 - SUM(Lapse_data!AL79:AW79, Death_data!P79)</f>
        <v>14</v>
      </c>
      <c r="R79" s="5">
        <f xml:space="preserve"> Q79 - SUM(Lapse_data!AX79:BI79, Death_data!Q79)</f>
        <v>14</v>
      </c>
      <c r="S79" s="5">
        <f xml:space="preserve"> R79 - SUM(Lapse_data!BJ79:BU79, Death_data!R79)</f>
        <v>14</v>
      </c>
      <c r="T79" s="5">
        <f xml:space="preserve"> S79 - SUM(Lapse_data!BV79:CG79, Death_data!S79)</f>
        <v>14</v>
      </c>
      <c r="U79" s="5">
        <f xml:space="preserve"> T79 - SUM(Lapse_data!CH79:CS79, Death_data!T79)</f>
        <v>14</v>
      </c>
      <c r="V79" s="5">
        <f xml:space="preserve"> U79 - SUM(Lapse_data!CT79:DE79, Death_data!U79)</f>
        <v>14</v>
      </c>
      <c r="W79" s="5">
        <f xml:space="preserve"> V79 - SUM(Lapse_data!DF79:DQ79, Death_data!V79)</f>
        <v>14</v>
      </c>
    </row>
    <row r="80" spans="1:23" x14ac:dyDescent="0.35">
      <c r="A80" s="1">
        <f t="shared" si="1"/>
        <v>44378</v>
      </c>
      <c r="B80" s="5">
        <f>Inception_data!B80</f>
        <v>209</v>
      </c>
      <c r="C80" s="5">
        <f>B80-SUM(Lapse_data!B80,Death_data!B80)</f>
        <v>181</v>
      </c>
      <c r="D80" s="5">
        <f>C80-SUM(Lapse_data!C80,Death_data!C80)</f>
        <v>174</v>
      </c>
      <c r="E80" s="5">
        <f>D80-SUM(Lapse_data!D80,Death_data!D80)</f>
        <v>146</v>
      </c>
      <c r="F80" s="5">
        <f>E80-SUM(Lapse_data!E80,Death_data!E80)</f>
        <v>134</v>
      </c>
      <c r="G80" s="5">
        <f>F80-SUM(Lapse_data!F80,Death_data!F80)</f>
        <v>122</v>
      </c>
      <c r="H80" s="5">
        <f>G80-SUM(Lapse_data!G80,Death_data!G80)</f>
        <v>110</v>
      </c>
      <c r="I80" s="5">
        <f>H80-SUM(Lapse_data!H80,Death_data!H80)</f>
        <v>102</v>
      </c>
      <c r="J80" s="5">
        <f>I80-SUM(Lapse_data!I80,Death_data!I80)</f>
        <v>97</v>
      </c>
      <c r="K80" s="5">
        <f>J80-SUM(Lapse_data!J80,Death_data!J80)</f>
        <v>88</v>
      </c>
      <c r="L80" s="5">
        <f>K80-SUM(Lapse_data!K80,Death_data!K80)</f>
        <v>86</v>
      </c>
      <c r="M80" s="5">
        <f>L80-SUM(Lapse_data!L80,Death_data!L80)</f>
        <v>75</v>
      </c>
      <c r="N80" s="5">
        <f>M80-SUM(Lapse_data!M80,Death_data!M80)</f>
        <v>69</v>
      </c>
      <c r="O80" s="5">
        <f xml:space="preserve"> N80 - SUM(Lapse_data!N80:Y80, Death_data!N80)</f>
        <v>35</v>
      </c>
      <c r="P80" s="5">
        <f xml:space="preserve"> O80 - SUM(Lapse_data!Z80:AK80, Death_data!O80)</f>
        <v>21</v>
      </c>
      <c r="Q80" s="5">
        <f xml:space="preserve"> P80 - SUM(Lapse_data!AL80:AW80, Death_data!P80)</f>
        <v>13</v>
      </c>
      <c r="R80" s="5">
        <f xml:space="preserve"> Q80 - SUM(Lapse_data!AX80:BI80, Death_data!Q80)</f>
        <v>13</v>
      </c>
      <c r="S80" s="5">
        <f xml:space="preserve"> R80 - SUM(Lapse_data!BJ80:BU80, Death_data!R80)</f>
        <v>13</v>
      </c>
      <c r="T80" s="5">
        <f xml:space="preserve"> S80 - SUM(Lapse_data!BV80:CG80, Death_data!S80)</f>
        <v>13</v>
      </c>
      <c r="U80" s="5">
        <f xml:space="preserve"> T80 - SUM(Lapse_data!CH80:CS80, Death_data!T80)</f>
        <v>13</v>
      </c>
      <c r="V80" s="5">
        <f xml:space="preserve"> U80 - SUM(Lapse_data!CT80:DE80, Death_data!U80)</f>
        <v>13</v>
      </c>
      <c r="W80" s="5">
        <f xml:space="preserve"> V80 - SUM(Lapse_data!DF80:DQ80, Death_data!V80)</f>
        <v>13</v>
      </c>
    </row>
    <row r="81" spans="1:23" x14ac:dyDescent="0.35">
      <c r="A81" s="1">
        <f t="shared" si="1"/>
        <v>44409</v>
      </c>
      <c r="B81" s="5">
        <f>Inception_data!B81</f>
        <v>117</v>
      </c>
      <c r="C81" s="5">
        <f>B81-SUM(Lapse_data!B81,Death_data!B81)</f>
        <v>98</v>
      </c>
      <c r="D81" s="5">
        <f>C81-SUM(Lapse_data!C81,Death_data!C81)</f>
        <v>84</v>
      </c>
      <c r="E81" s="5">
        <f>D81-SUM(Lapse_data!D81,Death_data!D81)</f>
        <v>65</v>
      </c>
      <c r="F81" s="5">
        <f>E81-SUM(Lapse_data!E81,Death_data!E81)</f>
        <v>56</v>
      </c>
      <c r="G81" s="5">
        <f>F81-SUM(Lapse_data!F81,Death_data!F81)</f>
        <v>52</v>
      </c>
      <c r="H81" s="5">
        <f>G81-SUM(Lapse_data!G81,Death_data!G81)</f>
        <v>48</v>
      </c>
      <c r="I81" s="5">
        <f>H81-SUM(Lapse_data!H81,Death_data!H81)</f>
        <v>44</v>
      </c>
      <c r="J81" s="5">
        <f>I81-SUM(Lapse_data!I81,Death_data!I81)</f>
        <v>42</v>
      </c>
      <c r="K81" s="5">
        <f>J81-SUM(Lapse_data!J81,Death_data!J81)</f>
        <v>39</v>
      </c>
      <c r="L81" s="5">
        <f>K81-SUM(Lapse_data!K81,Death_data!K81)</f>
        <v>35</v>
      </c>
      <c r="M81" s="5">
        <f>L81-SUM(Lapse_data!L81,Death_data!L81)</f>
        <v>33</v>
      </c>
      <c r="N81" s="5">
        <f>M81-SUM(Lapse_data!M81,Death_data!M81)</f>
        <v>32</v>
      </c>
      <c r="O81" s="5">
        <f xml:space="preserve"> N81 - SUM(Lapse_data!N81:Y81, Death_data!N81)</f>
        <v>14</v>
      </c>
      <c r="P81" s="5">
        <f xml:space="preserve"> O81 - SUM(Lapse_data!Z81:AK81, Death_data!O81)</f>
        <v>7</v>
      </c>
      <c r="Q81" s="5">
        <f xml:space="preserve"> P81 - SUM(Lapse_data!AL81:AW81, Death_data!P81)</f>
        <v>6</v>
      </c>
      <c r="R81" s="5">
        <f xml:space="preserve"> Q81 - SUM(Lapse_data!AX81:BI81, Death_data!Q81)</f>
        <v>6</v>
      </c>
      <c r="S81" s="5">
        <f xml:space="preserve"> R81 - SUM(Lapse_data!BJ81:BU81, Death_data!R81)</f>
        <v>6</v>
      </c>
      <c r="T81" s="5">
        <f xml:space="preserve"> S81 - SUM(Lapse_data!BV81:CG81, Death_data!S81)</f>
        <v>6</v>
      </c>
      <c r="U81" s="5">
        <f xml:space="preserve"> T81 - SUM(Lapse_data!CH81:CS81, Death_data!T81)</f>
        <v>6</v>
      </c>
      <c r="V81" s="5">
        <f xml:space="preserve"> U81 - SUM(Lapse_data!CT81:DE81, Death_data!U81)</f>
        <v>6</v>
      </c>
      <c r="W81" s="5">
        <f xml:space="preserve"> V81 - SUM(Lapse_data!DF81:DQ81, Death_data!V81)</f>
        <v>6</v>
      </c>
    </row>
    <row r="82" spans="1:23" x14ac:dyDescent="0.35">
      <c r="A82" s="1">
        <f t="shared" si="1"/>
        <v>44440</v>
      </c>
      <c r="B82" s="5">
        <f>Inception_data!B82</f>
        <v>161</v>
      </c>
      <c r="C82" s="5">
        <f>B82-SUM(Lapse_data!B82,Death_data!B82)</f>
        <v>146</v>
      </c>
      <c r="D82" s="5">
        <f>C82-SUM(Lapse_data!C82,Death_data!C82)</f>
        <v>128</v>
      </c>
      <c r="E82" s="5">
        <f>D82-SUM(Lapse_data!D82,Death_data!D82)</f>
        <v>98</v>
      </c>
      <c r="F82" s="5">
        <f>E82-SUM(Lapse_data!E82,Death_data!E82)</f>
        <v>90</v>
      </c>
      <c r="G82" s="5">
        <f>F82-SUM(Lapse_data!F82,Death_data!F82)</f>
        <v>84</v>
      </c>
      <c r="H82" s="5">
        <f>G82-SUM(Lapse_data!G82,Death_data!G82)</f>
        <v>78</v>
      </c>
      <c r="I82" s="5">
        <f>H82-SUM(Lapse_data!H82,Death_data!H82)</f>
        <v>74</v>
      </c>
      <c r="J82" s="5">
        <f>I82-SUM(Lapse_data!I82,Death_data!I82)</f>
        <v>69</v>
      </c>
      <c r="K82" s="5">
        <f>J82-SUM(Lapse_data!J82,Death_data!J82)</f>
        <v>64</v>
      </c>
      <c r="L82" s="5">
        <f>K82-SUM(Lapse_data!K82,Death_data!K82)</f>
        <v>57</v>
      </c>
      <c r="M82" s="5">
        <f>L82-SUM(Lapse_data!L82,Death_data!L82)</f>
        <v>49</v>
      </c>
      <c r="N82" s="5">
        <f>M82-SUM(Lapse_data!M82,Death_data!M82)</f>
        <v>47</v>
      </c>
      <c r="O82" s="5">
        <f xml:space="preserve"> N82 - SUM(Lapse_data!N82:Y82, Death_data!N82)</f>
        <v>28</v>
      </c>
      <c r="P82" s="5">
        <f xml:space="preserve"> O82 - SUM(Lapse_data!Z82:AK82, Death_data!O82)</f>
        <v>12</v>
      </c>
      <c r="Q82" s="5">
        <f xml:space="preserve"> P82 - SUM(Lapse_data!AL82:AW82, Death_data!P82)</f>
        <v>8</v>
      </c>
      <c r="R82" s="5">
        <f xml:space="preserve"> Q82 - SUM(Lapse_data!AX82:BI82, Death_data!Q82)</f>
        <v>8</v>
      </c>
      <c r="S82" s="5">
        <f xml:space="preserve"> R82 - SUM(Lapse_data!BJ82:BU82, Death_data!R82)</f>
        <v>8</v>
      </c>
      <c r="T82" s="5">
        <f xml:space="preserve"> S82 - SUM(Lapse_data!BV82:CG82, Death_data!S82)</f>
        <v>8</v>
      </c>
      <c r="U82" s="5">
        <f xml:space="preserve"> T82 - SUM(Lapse_data!CH82:CS82, Death_data!T82)</f>
        <v>8</v>
      </c>
      <c r="V82" s="5">
        <f xml:space="preserve"> U82 - SUM(Lapse_data!CT82:DE82, Death_data!U82)</f>
        <v>8</v>
      </c>
      <c r="W82" s="5">
        <f xml:space="preserve"> V82 - SUM(Lapse_data!DF82:DQ82, Death_data!V82)</f>
        <v>8</v>
      </c>
    </row>
    <row r="83" spans="1:23" x14ac:dyDescent="0.35">
      <c r="A83" s="1">
        <f t="shared" si="1"/>
        <v>44470</v>
      </c>
      <c r="B83" s="5">
        <f>Inception_data!B83</f>
        <v>173</v>
      </c>
      <c r="C83" s="5">
        <f>B83-SUM(Lapse_data!B83,Death_data!B83)</f>
        <v>131</v>
      </c>
      <c r="D83" s="5">
        <f>C83-SUM(Lapse_data!C83,Death_data!C83)</f>
        <v>109</v>
      </c>
      <c r="E83" s="5">
        <f>D83-SUM(Lapse_data!D83,Death_data!D83)</f>
        <v>87</v>
      </c>
      <c r="F83" s="5">
        <f>E83-SUM(Lapse_data!E83,Death_data!E83)</f>
        <v>82</v>
      </c>
      <c r="G83" s="5">
        <f>F83-SUM(Lapse_data!F83,Death_data!F83)</f>
        <v>71</v>
      </c>
      <c r="H83" s="5">
        <f>G83-SUM(Lapse_data!G83,Death_data!G83)</f>
        <v>63</v>
      </c>
      <c r="I83" s="5">
        <f>H83-SUM(Lapse_data!H83,Death_data!H83)</f>
        <v>57</v>
      </c>
      <c r="J83" s="5">
        <f>I83-SUM(Lapse_data!I83,Death_data!I83)</f>
        <v>49</v>
      </c>
      <c r="K83" s="5">
        <f>J83-SUM(Lapse_data!J83,Death_data!J83)</f>
        <v>41</v>
      </c>
      <c r="L83" s="5">
        <f>K83-SUM(Lapse_data!K83,Death_data!K83)</f>
        <v>35</v>
      </c>
      <c r="M83" s="5">
        <f>L83-SUM(Lapse_data!L83,Death_data!L83)</f>
        <v>33</v>
      </c>
      <c r="N83" s="5">
        <f>M83-SUM(Lapse_data!M83,Death_data!M83)</f>
        <v>30</v>
      </c>
      <c r="O83" s="5">
        <f xml:space="preserve"> N83 - SUM(Lapse_data!N83:Y83, Death_data!N83)</f>
        <v>19</v>
      </c>
      <c r="P83" s="5">
        <f xml:space="preserve"> O83 - SUM(Lapse_data!Z83:AK83, Death_data!O83)</f>
        <v>3</v>
      </c>
      <c r="Q83" s="5">
        <f xml:space="preserve"> P83 - SUM(Lapse_data!AL83:AW83, Death_data!P83)</f>
        <v>2</v>
      </c>
      <c r="R83" s="5">
        <f xml:space="preserve"> Q83 - SUM(Lapse_data!AX83:BI83, Death_data!Q83)</f>
        <v>2</v>
      </c>
      <c r="S83" s="5">
        <f xml:space="preserve"> R83 - SUM(Lapse_data!BJ83:BU83, Death_data!R83)</f>
        <v>2</v>
      </c>
      <c r="T83" s="5">
        <f xml:space="preserve"> S83 - SUM(Lapse_data!BV83:CG83, Death_data!S83)</f>
        <v>2</v>
      </c>
      <c r="U83" s="5">
        <f xml:space="preserve"> T83 - SUM(Lapse_data!CH83:CS83, Death_data!T83)</f>
        <v>2</v>
      </c>
      <c r="V83" s="5">
        <f xml:space="preserve"> U83 - SUM(Lapse_data!CT83:DE83, Death_data!U83)</f>
        <v>2</v>
      </c>
      <c r="W83" s="5">
        <f xml:space="preserve"> V83 - SUM(Lapse_data!DF83:DQ83, Death_data!V83)</f>
        <v>2</v>
      </c>
    </row>
    <row r="84" spans="1:23" x14ac:dyDescent="0.35">
      <c r="A84" s="1">
        <f t="shared" si="1"/>
        <v>44501</v>
      </c>
      <c r="B84" s="5">
        <f>Inception_data!B84</f>
        <v>107</v>
      </c>
      <c r="C84" s="5">
        <f>B84-SUM(Lapse_data!B84,Death_data!B84)</f>
        <v>101</v>
      </c>
      <c r="D84" s="5">
        <f>C84-SUM(Lapse_data!C84,Death_data!C84)</f>
        <v>75</v>
      </c>
      <c r="E84" s="5">
        <f>D84-SUM(Lapse_data!D84,Death_data!D84)</f>
        <v>70</v>
      </c>
      <c r="F84" s="5">
        <f>E84-SUM(Lapse_data!E84,Death_data!E84)</f>
        <v>66</v>
      </c>
      <c r="G84" s="5">
        <f>F84-SUM(Lapse_data!F84,Death_data!F84)</f>
        <v>55</v>
      </c>
      <c r="H84" s="5">
        <f>G84-SUM(Lapse_data!G84,Death_data!G84)</f>
        <v>52</v>
      </c>
      <c r="I84" s="5">
        <f>H84-SUM(Lapse_data!H84,Death_data!H84)</f>
        <v>49</v>
      </c>
      <c r="J84" s="5">
        <f>I84-SUM(Lapse_data!I84,Death_data!I84)</f>
        <v>47</v>
      </c>
      <c r="K84" s="5">
        <f>J84-SUM(Lapse_data!J84,Death_data!J84)</f>
        <v>41</v>
      </c>
      <c r="L84" s="5">
        <f>K84-SUM(Lapse_data!K84,Death_data!K84)</f>
        <v>40</v>
      </c>
      <c r="M84" s="5">
        <f>L84-SUM(Lapse_data!L84,Death_data!L84)</f>
        <v>38</v>
      </c>
      <c r="N84" s="5">
        <f>M84-SUM(Lapse_data!M84,Death_data!M84)</f>
        <v>34</v>
      </c>
      <c r="O84" s="5">
        <f xml:space="preserve"> N84 - SUM(Lapse_data!N84:Y84, Death_data!N84)</f>
        <v>15</v>
      </c>
      <c r="P84" s="5">
        <f xml:space="preserve"> O84 - SUM(Lapse_data!Z84:AK84, Death_data!O84)</f>
        <v>9</v>
      </c>
      <c r="Q84" s="5">
        <f xml:space="preserve"> P84 - SUM(Lapse_data!AL84:AW84, Death_data!P84)</f>
        <v>6</v>
      </c>
      <c r="R84" s="5">
        <f xml:space="preserve"> Q84 - SUM(Lapse_data!AX84:BI84, Death_data!Q84)</f>
        <v>6</v>
      </c>
      <c r="S84" s="5">
        <f xml:space="preserve"> R84 - SUM(Lapse_data!BJ84:BU84, Death_data!R84)</f>
        <v>6</v>
      </c>
      <c r="T84" s="5">
        <f xml:space="preserve"> S84 - SUM(Lapse_data!BV84:CG84, Death_data!S84)</f>
        <v>6</v>
      </c>
      <c r="U84" s="5">
        <f xml:space="preserve"> T84 - SUM(Lapse_data!CH84:CS84, Death_data!T84)</f>
        <v>6</v>
      </c>
      <c r="V84" s="5">
        <f xml:space="preserve"> U84 - SUM(Lapse_data!CT84:DE84, Death_data!U84)</f>
        <v>6</v>
      </c>
      <c r="W84" s="5">
        <f xml:space="preserve"> V84 - SUM(Lapse_data!DF84:DQ84, Death_data!V84)</f>
        <v>6</v>
      </c>
    </row>
    <row r="85" spans="1:23" x14ac:dyDescent="0.35">
      <c r="A85" s="1">
        <f t="shared" si="1"/>
        <v>44531</v>
      </c>
      <c r="B85" s="5">
        <f>Inception_data!B85</f>
        <v>150</v>
      </c>
      <c r="C85" s="5">
        <f>B85-SUM(Lapse_data!B85,Death_data!B85)</f>
        <v>134</v>
      </c>
      <c r="D85" s="5">
        <f>C85-SUM(Lapse_data!C85,Death_data!C85)</f>
        <v>124</v>
      </c>
      <c r="E85" s="5">
        <f>D85-SUM(Lapse_data!D85,Death_data!D85)</f>
        <v>101</v>
      </c>
      <c r="F85" s="5">
        <f>E85-SUM(Lapse_data!E85,Death_data!E85)</f>
        <v>88</v>
      </c>
      <c r="G85" s="5">
        <f>F85-SUM(Lapse_data!F85,Death_data!F85)</f>
        <v>82</v>
      </c>
      <c r="H85" s="5">
        <f>G85-SUM(Lapse_data!G85,Death_data!G85)</f>
        <v>76</v>
      </c>
      <c r="I85" s="5">
        <f>H85-SUM(Lapse_data!H85,Death_data!H85)</f>
        <v>70</v>
      </c>
      <c r="J85" s="5">
        <f>I85-SUM(Lapse_data!I85,Death_data!I85)</f>
        <v>69</v>
      </c>
      <c r="K85" s="5">
        <f>J85-SUM(Lapse_data!J85,Death_data!J85)</f>
        <v>67</v>
      </c>
      <c r="L85" s="5">
        <f>K85-SUM(Lapse_data!K85,Death_data!K85)</f>
        <v>62</v>
      </c>
      <c r="M85" s="5">
        <f>L85-SUM(Lapse_data!L85,Death_data!L85)</f>
        <v>59</v>
      </c>
      <c r="N85" s="5">
        <f>M85-SUM(Lapse_data!M85,Death_data!M85)</f>
        <v>56</v>
      </c>
      <c r="O85" s="5">
        <f xml:space="preserve"> N85 - SUM(Lapse_data!N85:Y85, Death_data!N85)</f>
        <v>32</v>
      </c>
      <c r="P85" s="5">
        <f xml:space="preserve"> O85 - SUM(Lapse_data!Z85:AK85, Death_data!O85)</f>
        <v>18</v>
      </c>
      <c r="Q85" s="5">
        <f xml:space="preserve"> P85 - SUM(Lapse_data!AL85:AW85, Death_data!P85)</f>
        <v>17</v>
      </c>
      <c r="R85" s="5">
        <f xml:space="preserve"> Q85 - SUM(Lapse_data!AX85:BI85, Death_data!Q85)</f>
        <v>17</v>
      </c>
      <c r="S85" s="5">
        <f xml:space="preserve"> R85 - SUM(Lapse_data!BJ85:BU85, Death_data!R85)</f>
        <v>17</v>
      </c>
      <c r="T85" s="5">
        <f xml:space="preserve"> S85 - SUM(Lapse_data!BV85:CG85, Death_data!S85)</f>
        <v>17</v>
      </c>
      <c r="U85" s="5">
        <f xml:space="preserve"> T85 - SUM(Lapse_data!CH85:CS85, Death_data!T85)</f>
        <v>17</v>
      </c>
      <c r="V85" s="5">
        <f xml:space="preserve"> U85 - SUM(Lapse_data!CT85:DE85, Death_data!U85)</f>
        <v>17</v>
      </c>
      <c r="W85" s="5">
        <f xml:space="preserve"> V85 - SUM(Lapse_data!DF85:DQ85, Death_data!V85)</f>
        <v>17</v>
      </c>
    </row>
    <row r="86" spans="1:23" x14ac:dyDescent="0.35">
      <c r="A86" s="4">
        <f t="shared" si="1"/>
        <v>44562</v>
      </c>
      <c r="B86" s="5">
        <f>Inception_data!B86</f>
        <v>180</v>
      </c>
      <c r="C86" s="5">
        <f>B86-SUM(Lapse_data!B86,Death_data!B86)</f>
        <v>166</v>
      </c>
      <c r="D86" s="5">
        <f>C86-SUM(Lapse_data!C86,Death_data!C86)</f>
        <v>146</v>
      </c>
      <c r="E86" s="5">
        <f>D86-SUM(Lapse_data!D86,Death_data!D86)</f>
        <v>131</v>
      </c>
      <c r="F86" s="5">
        <f>E86-SUM(Lapse_data!E86,Death_data!E86)</f>
        <v>125</v>
      </c>
      <c r="G86" s="5">
        <f>F86-SUM(Lapse_data!F86,Death_data!F86)</f>
        <v>120</v>
      </c>
      <c r="H86" s="5">
        <f>G86-SUM(Lapse_data!G86,Death_data!G86)</f>
        <v>112</v>
      </c>
      <c r="I86" s="5">
        <f>H86-SUM(Lapse_data!H86,Death_data!H86)</f>
        <v>100</v>
      </c>
      <c r="J86" s="5">
        <f>I86-SUM(Lapse_data!I86,Death_data!I86)</f>
        <v>93</v>
      </c>
      <c r="K86" s="5">
        <f>J86-SUM(Lapse_data!J86,Death_data!J86)</f>
        <v>89</v>
      </c>
      <c r="L86" s="5">
        <f>K86-SUM(Lapse_data!K86,Death_data!K86)</f>
        <v>83</v>
      </c>
      <c r="M86" s="5">
        <f>L86-SUM(Lapse_data!L86,Death_data!L86)</f>
        <v>79</v>
      </c>
      <c r="N86" s="5">
        <f>M86-SUM(Lapse_data!M86,Death_data!M86)</f>
        <v>77</v>
      </c>
      <c r="O86" s="5">
        <f xml:space="preserve"> N86 - SUM(Lapse_data!N86:Y86, Death_data!N86)</f>
        <v>43</v>
      </c>
      <c r="P86" s="5">
        <f xml:space="preserve"> O86 - SUM(Lapse_data!Z86:AK86, Death_data!O86)</f>
        <v>32</v>
      </c>
      <c r="Q86" s="5">
        <f xml:space="preserve"> P86 - SUM(Lapse_data!AL86:AW86, Death_data!P86)</f>
        <v>32</v>
      </c>
      <c r="R86" s="5">
        <f xml:space="preserve"> Q86 - SUM(Lapse_data!AX86:BI86, Death_data!Q86)</f>
        <v>32</v>
      </c>
      <c r="S86" s="5">
        <f xml:space="preserve"> R86 - SUM(Lapse_data!BJ86:BU86, Death_data!R86)</f>
        <v>32</v>
      </c>
      <c r="T86" s="5">
        <f xml:space="preserve"> S86 - SUM(Lapse_data!BV86:CG86, Death_data!S86)</f>
        <v>32</v>
      </c>
      <c r="U86" s="5">
        <f xml:space="preserve"> T86 - SUM(Lapse_data!CH86:CS86, Death_data!T86)</f>
        <v>32</v>
      </c>
      <c r="V86" s="5">
        <f xml:space="preserve"> U86 - SUM(Lapse_data!CT86:DE86, Death_data!U86)</f>
        <v>32</v>
      </c>
      <c r="W86" s="5">
        <f xml:space="preserve"> V86 - SUM(Lapse_data!DF86:DQ86, Death_data!V86)</f>
        <v>32</v>
      </c>
    </row>
    <row r="87" spans="1:23" x14ac:dyDescent="0.35">
      <c r="A87" s="1">
        <f t="shared" si="1"/>
        <v>44593</v>
      </c>
      <c r="B87" s="5">
        <f>Inception_data!B87</f>
        <v>215</v>
      </c>
      <c r="C87" s="5">
        <f>B87-SUM(Lapse_data!B87,Death_data!B87)</f>
        <v>191</v>
      </c>
      <c r="D87" s="5">
        <f>C87-SUM(Lapse_data!C87,Death_data!C87)</f>
        <v>169</v>
      </c>
      <c r="E87" s="5">
        <f>D87-SUM(Lapse_data!D87,Death_data!D87)</f>
        <v>156</v>
      </c>
      <c r="F87" s="5">
        <f>E87-SUM(Lapse_data!E87,Death_data!E87)</f>
        <v>145</v>
      </c>
      <c r="G87" s="5">
        <f>F87-SUM(Lapse_data!F87,Death_data!F87)</f>
        <v>135</v>
      </c>
      <c r="H87" s="5">
        <f>G87-SUM(Lapse_data!G87,Death_data!G87)</f>
        <v>126</v>
      </c>
      <c r="I87" s="5">
        <f>H87-SUM(Lapse_data!H87,Death_data!H87)</f>
        <v>114</v>
      </c>
      <c r="J87" s="5">
        <f>I87-SUM(Lapse_data!I87,Death_data!I87)</f>
        <v>110</v>
      </c>
      <c r="K87" s="5">
        <f>J87-SUM(Lapse_data!J87,Death_data!J87)</f>
        <v>104</v>
      </c>
      <c r="L87" s="5">
        <f>K87-SUM(Lapse_data!K87,Death_data!K87)</f>
        <v>98</v>
      </c>
      <c r="M87" s="5">
        <f>L87-SUM(Lapse_data!L87,Death_data!L87)</f>
        <v>97</v>
      </c>
      <c r="N87" s="5">
        <f>M87-SUM(Lapse_data!M87,Death_data!M87)</f>
        <v>90</v>
      </c>
      <c r="O87" s="5">
        <f xml:space="preserve"> N87 - SUM(Lapse_data!N87:Y87, Death_data!N87)</f>
        <v>51</v>
      </c>
      <c r="P87" s="5">
        <f xml:space="preserve"> O87 - SUM(Lapse_data!Z87:AK87, Death_data!O87)</f>
        <v>40</v>
      </c>
      <c r="Q87" s="5">
        <f xml:space="preserve"> P87 - SUM(Lapse_data!AL87:AW87, Death_data!P87)</f>
        <v>40</v>
      </c>
      <c r="R87" s="5">
        <f xml:space="preserve"> Q87 - SUM(Lapse_data!AX87:BI87, Death_data!Q87)</f>
        <v>40</v>
      </c>
      <c r="S87" s="5">
        <f xml:space="preserve"> R87 - SUM(Lapse_data!BJ87:BU87, Death_data!R87)</f>
        <v>40</v>
      </c>
      <c r="T87" s="5">
        <f xml:space="preserve"> S87 - SUM(Lapse_data!BV87:CG87, Death_data!S87)</f>
        <v>40</v>
      </c>
      <c r="U87" s="5">
        <f xml:space="preserve"> T87 - SUM(Lapse_data!CH87:CS87, Death_data!T87)</f>
        <v>40</v>
      </c>
      <c r="V87" s="5">
        <f xml:space="preserve"> U87 - SUM(Lapse_data!CT87:DE87, Death_data!U87)</f>
        <v>40</v>
      </c>
      <c r="W87" s="5">
        <f xml:space="preserve"> V87 - SUM(Lapse_data!DF87:DQ87, Death_data!V87)</f>
        <v>40</v>
      </c>
    </row>
    <row r="88" spans="1:23" x14ac:dyDescent="0.35">
      <c r="A88" s="1">
        <f t="shared" si="1"/>
        <v>44621</v>
      </c>
      <c r="B88" s="5">
        <f>Inception_data!B88</f>
        <v>225</v>
      </c>
      <c r="C88" s="5">
        <f>B88-SUM(Lapse_data!B88,Death_data!B88)</f>
        <v>204</v>
      </c>
      <c r="D88" s="5">
        <f>C88-SUM(Lapse_data!C88,Death_data!C88)</f>
        <v>193</v>
      </c>
      <c r="E88" s="5">
        <f>D88-SUM(Lapse_data!D88,Death_data!D88)</f>
        <v>186</v>
      </c>
      <c r="F88" s="5">
        <f>E88-SUM(Lapse_data!E88,Death_data!E88)</f>
        <v>173</v>
      </c>
      <c r="G88" s="5">
        <f>F88-SUM(Lapse_data!F88,Death_data!F88)</f>
        <v>160</v>
      </c>
      <c r="H88" s="5">
        <f>G88-SUM(Lapse_data!G88,Death_data!G88)</f>
        <v>152</v>
      </c>
      <c r="I88" s="5">
        <f>H88-SUM(Lapse_data!H88,Death_data!H88)</f>
        <v>142</v>
      </c>
      <c r="J88" s="5">
        <f>I88-SUM(Lapse_data!I88,Death_data!I88)</f>
        <v>135</v>
      </c>
      <c r="K88" s="5">
        <f>J88-SUM(Lapse_data!J88,Death_data!J88)</f>
        <v>127</v>
      </c>
      <c r="L88" s="5">
        <f>K88-SUM(Lapse_data!K88,Death_data!K88)</f>
        <v>123</v>
      </c>
      <c r="M88" s="5">
        <f>L88-SUM(Lapse_data!L88,Death_data!L88)</f>
        <v>116</v>
      </c>
      <c r="N88" s="5">
        <f>M88-SUM(Lapse_data!M88,Death_data!M88)</f>
        <v>106</v>
      </c>
      <c r="O88" s="5">
        <f xml:space="preserve"> N88 - SUM(Lapse_data!N88:Y88, Death_data!N88)</f>
        <v>61</v>
      </c>
      <c r="P88" s="5">
        <f xml:space="preserve"> O88 - SUM(Lapse_data!Z88:AK88, Death_data!O88)</f>
        <v>46</v>
      </c>
      <c r="Q88" s="5">
        <f xml:space="preserve"> P88 - SUM(Lapse_data!AL88:AW88, Death_data!P88)</f>
        <v>46</v>
      </c>
      <c r="R88" s="5">
        <f xml:space="preserve"> Q88 - SUM(Lapse_data!AX88:BI88, Death_data!Q88)</f>
        <v>46</v>
      </c>
      <c r="S88" s="5">
        <f xml:space="preserve"> R88 - SUM(Lapse_data!BJ88:BU88, Death_data!R88)</f>
        <v>46</v>
      </c>
      <c r="T88" s="5">
        <f xml:space="preserve"> S88 - SUM(Lapse_data!BV88:CG88, Death_data!S88)</f>
        <v>46</v>
      </c>
      <c r="U88" s="5">
        <f xml:space="preserve"> T88 - SUM(Lapse_data!CH88:CS88, Death_data!T88)</f>
        <v>46</v>
      </c>
      <c r="V88" s="5">
        <f xml:space="preserve"> U88 - SUM(Lapse_data!CT88:DE88, Death_data!U88)</f>
        <v>46</v>
      </c>
      <c r="W88" s="5">
        <f xml:space="preserve"> V88 - SUM(Lapse_data!DF88:DQ88, Death_data!V88)</f>
        <v>46</v>
      </c>
    </row>
    <row r="89" spans="1:23" x14ac:dyDescent="0.35">
      <c r="A89" s="1">
        <f t="shared" si="1"/>
        <v>44652</v>
      </c>
      <c r="B89" s="5">
        <f>Inception_data!B89</f>
        <v>258</v>
      </c>
      <c r="C89" s="5">
        <f>B89-SUM(Lapse_data!B89,Death_data!B89)</f>
        <v>231</v>
      </c>
      <c r="D89" s="5">
        <f>C89-SUM(Lapse_data!C89,Death_data!C89)</f>
        <v>211</v>
      </c>
      <c r="E89" s="5">
        <f>D89-SUM(Lapse_data!D89,Death_data!D89)</f>
        <v>196</v>
      </c>
      <c r="F89" s="5">
        <f>E89-SUM(Lapse_data!E89,Death_data!E89)</f>
        <v>172</v>
      </c>
      <c r="G89" s="5">
        <f>F89-SUM(Lapse_data!F89,Death_data!F89)</f>
        <v>157</v>
      </c>
      <c r="H89" s="5">
        <f>G89-SUM(Lapse_data!G89,Death_data!G89)</f>
        <v>145</v>
      </c>
      <c r="I89" s="5">
        <f>H89-SUM(Lapse_data!H89,Death_data!H89)</f>
        <v>138</v>
      </c>
      <c r="J89" s="5">
        <f>I89-SUM(Lapse_data!I89,Death_data!I89)</f>
        <v>126</v>
      </c>
      <c r="K89" s="5">
        <f>J89-SUM(Lapse_data!J89,Death_data!J89)</f>
        <v>118</v>
      </c>
      <c r="L89" s="5">
        <f>K89-SUM(Lapse_data!K89,Death_data!K89)</f>
        <v>112</v>
      </c>
      <c r="M89" s="5">
        <f>L89-SUM(Lapse_data!L89,Death_data!L89)</f>
        <v>103</v>
      </c>
      <c r="N89" s="5">
        <f>M89-SUM(Lapse_data!M89,Death_data!M89)</f>
        <v>95</v>
      </c>
      <c r="O89" s="5">
        <f xml:space="preserve"> N89 - SUM(Lapse_data!N89:Y89, Death_data!N89)</f>
        <v>55</v>
      </c>
      <c r="P89" s="5">
        <f xml:space="preserve"> O89 - SUM(Lapse_data!Z89:AK89, Death_data!O89)</f>
        <v>38</v>
      </c>
      <c r="Q89" s="5">
        <f xml:space="preserve"> P89 - SUM(Lapse_data!AL89:AW89, Death_data!P89)</f>
        <v>38</v>
      </c>
      <c r="R89" s="5">
        <f xml:space="preserve"> Q89 - SUM(Lapse_data!AX89:BI89, Death_data!Q89)</f>
        <v>38</v>
      </c>
      <c r="S89" s="5">
        <f xml:space="preserve"> R89 - SUM(Lapse_data!BJ89:BU89, Death_data!R89)</f>
        <v>38</v>
      </c>
      <c r="T89" s="5">
        <f xml:space="preserve"> S89 - SUM(Lapse_data!BV89:CG89, Death_data!S89)</f>
        <v>38</v>
      </c>
      <c r="U89" s="5">
        <f xml:space="preserve"> T89 - SUM(Lapse_data!CH89:CS89, Death_data!T89)</f>
        <v>38</v>
      </c>
      <c r="V89" s="5">
        <f xml:space="preserve"> U89 - SUM(Lapse_data!CT89:DE89, Death_data!U89)</f>
        <v>38</v>
      </c>
      <c r="W89" s="5">
        <f xml:space="preserve"> V89 - SUM(Lapse_data!DF89:DQ89, Death_data!V89)</f>
        <v>38</v>
      </c>
    </row>
    <row r="90" spans="1:23" x14ac:dyDescent="0.35">
      <c r="A90" s="1">
        <f t="shared" si="1"/>
        <v>44682</v>
      </c>
      <c r="B90" s="5">
        <f>Inception_data!B90</f>
        <v>226</v>
      </c>
      <c r="C90" s="5">
        <f>B90-SUM(Lapse_data!B90,Death_data!B90)</f>
        <v>207</v>
      </c>
      <c r="D90" s="5">
        <f>C90-SUM(Lapse_data!C90,Death_data!C90)</f>
        <v>189</v>
      </c>
      <c r="E90" s="5">
        <f>D90-SUM(Lapse_data!D90,Death_data!D90)</f>
        <v>166</v>
      </c>
      <c r="F90" s="5">
        <f>E90-SUM(Lapse_data!E90,Death_data!E90)</f>
        <v>157</v>
      </c>
      <c r="G90" s="5">
        <f>F90-SUM(Lapse_data!F90,Death_data!F90)</f>
        <v>148</v>
      </c>
      <c r="H90" s="5">
        <f>G90-SUM(Lapse_data!G90,Death_data!G90)</f>
        <v>144</v>
      </c>
      <c r="I90" s="5">
        <f>H90-SUM(Lapse_data!H90,Death_data!H90)</f>
        <v>133</v>
      </c>
      <c r="J90" s="5">
        <f>I90-SUM(Lapse_data!I90,Death_data!I90)</f>
        <v>125</v>
      </c>
      <c r="K90" s="5">
        <f>J90-SUM(Lapse_data!J90,Death_data!J90)</f>
        <v>115</v>
      </c>
      <c r="L90" s="5">
        <f>K90-SUM(Lapse_data!K90,Death_data!K90)</f>
        <v>107</v>
      </c>
      <c r="M90" s="5">
        <f>L90-SUM(Lapse_data!L90,Death_data!L90)</f>
        <v>102</v>
      </c>
      <c r="N90" s="5">
        <f>M90-SUM(Lapse_data!M90,Death_data!M90)</f>
        <v>95</v>
      </c>
      <c r="O90" s="5">
        <f xml:space="preserve"> N90 - SUM(Lapse_data!N90:Y90, Death_data!N90)</f>
        <v>50</v>
      </c>
      <c r="P90" s="5">
        <f xml:space="preserve"> O90 - SUM(Lapse_data!Z90:AK90, Death_data!O90)</f>
        <v>36</v>
      </c>
      <c r="Q90" s="5">
        <f xml:space="preserve"> P90 - SUM(Lapse_data!AL90:AW90, Death_data!P90)</f>
        <v>36</v>
      </c>
      <c r="R90" s="5">
        <f xml:space="preserve"> Q90 - SUM(Lapse_data!AX90:BI90, Death_data!Q90)</f>
        <v>36</v>
      </c>
      <c r="S90" s="5">
        <f xml:space="preserve"> R90 - SUM(Lapse_data!BJ90:BU90, Death_data!R90)</f>
        <v>36</v>
      </c>
      <c r="T90" s="5">
        <f xml:space="preserve"> S90 - SUM(Lapse_data!BV90:CG90, Death_data!S90)</f>
        <v>36</v>
      </c>
      <c r="U90" s="5">
        <f xml:space="preserve"> T90 - SUM(Lapse_data!CH90:CS90, Death_data!T90)</f>
        <v>36</v>
      </c>
      <c r="V90" s="5">
        <f xml:space="preserve"> U90 - SUM(Lapse_data!CT90:DE90, Death_data!U90)</f>
        <v>36</v>
      </c>
      <c r="W90" s="5">
        <f xml:space="preserve"> V90 - SUM(Lapse_data!DF90:DQ90, Death_data!V90)</f>
        <v>36</v>
      </c>
    </row>
    <row r="91" spans="1:23" x14ac:dyDescent="0.35">
      <c r="A91" s="1">
        <f t="shared" si="1"/>
        <v>44713</v>
      </c>
      <c r="B91" s="5">
        <f>Inception_data!B91</f>
        <v>272</v>
      </c>
      <c r="C91" s="5">
        <f>B91-SUM(Lapse_data!B91,Death_data!B91)</f>
        <v>248</v>
      </c>
      <c r="D91" s="5">
        <f>C91-SUM(Lapse_data!C91,Death_data!C91)</f>
        <v>213</v>
      </c>
      <c r="E91" s="5">
        <f>D91-SUM(Lapse_data!D91,Death_data!D91)</f>
        <v>190</v>
      </c>
      <c r="F91" s="5">
        <f>E91-SUM(Lapse_data!E91,Death_data!E91)</f>
        <v>177</v>
      </c>
      <c r="G91" s="5">
        <f>F91-SUM(Lapse_data!F91,Death_data!F91)</f>
        <v>168</v>
      </c>
      <c r="H91" s="5">
        <f>G91-SUM(Lapse_data!G91,Death_data!G91)</f>
        <v>161</v>
      </c>
      <c r="I91" s="5">
        <f>H91-SUM(Lapse_data!H91,Death_data!H91)</f>
        <v>154</v>
      </c>
      <c r="J91" s="5">
        <f>I91-SUM(Lapse_data!I91,Death_data!I91)</f>
        <v>147</v>
      </c>
      <c r="K91" s="5">
        <f>J91-SUM(Lapse_data!J91,Death_data!J91)</f>
        <v>142</v>
      </c>
      <c r="L91" s="5">
        <f>K91-SUM(Lapse_data!K91,Death_data!K91)</f>
        <v>135</v>
      </c>
      <c r="M91" s="5">
        <f>L91-SUM(Lapse_data!L91,Death_data!L91)</f>
        <v>132</v>
      </c>
      <c r="N91" s="5">
        <f>M91-SUM(Lapse_data!M91,Death_data!M91)</f>
        <v>121</v>
      </c>
      <c r="O91" s="5">
        <f xml:space="preserve"> N91 - SUM(Lapse_data!N91:Y91, Death_data!N91)</f>
        <v>78</v>
      </c>
      <c r="P91" s="5">
        <f xml:space="preserve"> O91 - SUM(Lapse_data!Z91:AK91, Death_data!O91)</f>
        <v>66</v>
      </c>
      <c r="Q91" s="5">
        <f xml:space="preserve"> P91 - SUM(Lapse_data!AL91:AW91, Death_data!P91)</f>
        <v>66</v>
      </c>
      <c r="R91" s="5">
        <f xml:space="preserve"> Q91 - SUM(Lapse_data!AX91:BI91, Death_data!Q91)</f>
        <v>66</v>
      </c>
      <c r="S91" s="5">
        <f xml:space="preserve"> R91 - SUM(Lapse_data!BJ91:BU91, Death_data!R91)</f>
        <v>66</v>
      </c>
      <c r="T91" s="5">
        <f xml:space="preserve"> S91 - SUM(Lapse_data!BV91:CG91, Death_data!S91)</f>
        <v>66</v>
      </c>
      <c r="U91" s="5">
        <f xml:space="preserve"> T91 - SUM(Lapse_data!CH91:CS91, Death_data!T91)</f>
        <v>66</v>
      </c>
      <c r="V91" s="5">
        <f xml:space="preserve"> U91 - SUM(Lapse_data!CT91:DE91, Death_data!U91)</f>
        <v>66</v>
      </c>
      <c r="W91" s="5">
        <f xml:space="preserve"> V91 - SUM(Lapse_data!DF91:DQ91, Death_data!V91)</f>
        <v>66</v>
      </c>
    </row>
    <row r="92" spans="1:23" x14ac:dyDescent="0.35">
      <c r="A92" s="1">
        <f t="shared" si="1"/>
        <v>44743</v>
      </c>
      <c r="B92" s="5">
        <f>Inception_data!B92</f>
        <v>310</v>
      </c>
      <c r="C92" s="5">
        <f>B92-SUM(Lapse_data!B92,Death_data!B92)</f>
        <v>273</v>
      </c>
      <c r="D92" s="5">
        <f>C92-SUM(Lapse_data!C92,Death_data!C92)</f>
        <v>247</v>
      </c>
      <c r="E92" s="5">
        <f>D92-SUM(Lapse_data!D92,Death_data!D92)</f>
        <v>227</v>
      </c>
      <c r="F92" s="5">
        <f>E92-SUM(Lapse_data!E92,Death_data!E92)</f>
        <v>209</v>
      </c>
      <c r="G92" s="5">
        <f>F92-SUM(Lapse_data!F92,Death_data!F92)</f>
        <v>197</v>
      </c>
      <c r="H92" s="5">
        <f>G92-SUM(Lapse_data!G92,Death_data!G92)</f>
        <v>187</v>
      </c>
      <c r="I92" s="5">
        <f>H92-SUM(Lapse_data!H92,Death_data!H92)</f>
        <v>175</v>
      </c>
      <c r="J92" s="5">
        <f>I92-SUM(Lapse_data!I92,Death_data!I92)</f>
        <v>163</v>
      </c>
      <c r="K92" s="5">
        <f>J92-SUM(Lapse_data!J92,Death_data!J92)</f>
        <v>152</v>
      </c>
      <c r="L92" s="5">
        <f>K92-SUM(Lapse_data!K92,Death_data!K92)</f>
        <v>140</v>
      </c>
      <c r="M92" s="5">
        <f>L92-SUM(Lapse_data!L92,Death_data!L92)</f>
        <v>129</v>
      </c>
      <c r="N92" s="5">
        <f>M92-SUM(Lapse_data!M92,Death_data!M92)</f>
        <v>120</v>
      </c>
      <c r="O92" s="5">
        <f xml:space="preserve"> N92 - SUM(Lapse_data!N92:Y92, Death_data!N92)</f>
        <v>69</v>
      </c>
      <c r="P92" s="5">
        <f xml:space="preserve"> O92 - SUM(Lapse_data!Z92:AK92, Death_data!O92)</f>
        <v>59</v>
      </c>
      <c r="Q92" s="5">
        <f xml:space="preserve"> P92 - SUM(Lapse_data!AL92:AW92, Death_data!P92)</f>
        <v>59</v>
      </c>
      <c r="R92" s="5">
        <f xml:space="preserve"> Q92 - SUM(Lapse_data!AX92:BI92, Death_data!Q92)</f>
        <v>59</v>
      </c>
      <c r="S92" s="5">
        <f xml:space="preserve"> R92 - SUM(Lapse_data!BJ92:BU92, Death_data!R92)</f>
        <v>59</v>
      </c>
      <c r="T92" s="5">
        <f xml:space="preserve"> S92 - SUM(Lapse_data!BV92:CG92, Death_data!S92)</f>
        <v>59</v>
      </c>
      <c r="U92" s="5">
        <f xml:space="preserve"> T92 - SUM(Lapse_data!CH92:CS92, Death_data!T92)</f>
        <v>59</v>
      </c>
      <c r="V92" s="5">
        <f xml:space="preserve"> U92 - SUM(Lapse_data!CT92:DE92, Death_data!U92)</f>
        <v>59</v>
      </c>
      <c r="W92" s="5">
        <f xml:space="preserve"> V92 - SUM(Lapse_data!DF92:DQ92, Death_data!V92)</f>
        <v>59</v>
      </c>
    </row>
    <row r="93" spans="1:23" x14ac:dyDescent="0.35">
      <c r="A93" s="1">
        <f t="shared" si="1"/>
        <v>44774</v>
      </c>
      <c r="B93" s="5">
        <f>Inception_data!B93</f>
        <v>212</v>
      </c>
      <c r="C93" s="5">
        <f>B93-SUM(Lapse_data!B93,Death_data!B93)</f>
        <v>196</v>
      </c>
      <c r="D93" s="5">
        <f>C93-SUM(Lapse_data!C93,Death_data!C93)</f>
        <v>177</v>
      </c>
      <c r="E93" s="5">
        <f>D93-SUM(Lapse_data!D93,Death_data!D93)</f>
        <v>157</v>
      </c>
      <c r="F93" s="5">
        <f>E93-SUM(Lapse_data!E93,Death_data!E93)</f>
        <v>138</v>
      </c>
      <c r="G93" s="5">
        <f>F93-SUM(Lapse_data!F93,Death_data!F93)</f>
        <v>128</v>
      </c>
      <c r="H93" s="5">
        <f>G93-SUM(Lapse_data!G93,Death_data!G93)</f>
        <v>120</v>
      </c>
      <c r="I93" s="5">
        <f>H93-SUM(Lapse_data!H93,Death_data!H93)</f>
        <v>108</v>
      </c>
      <c r="J93" s="5">
        <f>I93-SUM(Lapse_data!I93,Death_data!I93)</f>
        <v>106</v>
      </c>
      <c r="K93" s="5">
        <f>J93-SUM(Lapse_data!J93,Death_data!J93)</f>
        <v>97</v>
      </c>
      <c r="L93" s="5">
        <f>K93-SUM(Lapse_data!K93,Death_data!K93)</f>
        <v>89</v>
      </c>
      <c r="M93" s="5">
        <f>L93-SUM(Lapse_data!L93,Death_data!L93)</f>
        <v>82</v>
      </c>
      <c r="N93" s="5">
        <f>M93-SUM(Lapse_data!M93,Death_data!M93)</f>
        <v>78</v>
      </c>
      <c r="O93" s="5">
        <f xml:space="preserve"> N93 - SUM(Lapse_data!N93:Y93, Death_data!N93)</f>
        <v>47</v>
      </c>
      <c r="P93" s="5">
        <f xml:space="preserve"> O93 - SUM(Lapse_data!Z93:AK93, Death_data!O93)</f>
        <v>41</v>
      </c>
      <c r="Q93" s="5">
        <f xml:space="preserve"> P93 - SUM(Lapse_data!AL93:AW93, Death_data!P93)</f>
        <v>41</v>
      </c>
      <c r="R93" s="5">
        <f xml:space="preserve"> Q93 - SUM(Lapse_data!AX93:BI93, Death_data!Q93)</f>
        <v>41</v>
      </c>
      <c r="S93" s="5">
        <f xml:space="preserve"> R93 - SUM(Lapse_data!BJ93:BU93, Death_data!R93)</f>
        <v>41</v>
      </c>
      <c r="T93" s="5">
        <f xml:space="preserve"> S93 - SUM(Lapse_data!BV93:CG93, Death_data!S93)</f>
        <v>41</v>
      </c>
      <c r="U93" s="5">
        <f xml:space="preserve"> T93 - SUM(Lapse_data!CH93:CS93, Death_data!T93)</f>
        <v>41</v>
      </c>
      <c r="V93" s="5">
        <f xml:space="preserve"> U93 - SUM(Lapse_data!CT93:DE93, Death_data!U93)</f>
        <v>41</v>
      </c>
      <c r="W93" s="5">
        <f xml:space="preserve"> V93 - SUM(Lapse_data!DF93:DQ93, Death_data!V93)</f>
        <v>41</v>
      </c>
    </row>
    <row r="94" spans="1:23" x14ac:dyDescent="0.35">
      <c r="A94" s="1">
        <f t="shared" si="1"/>
        <v>44805</v>
      </c>
      <c r="B94" s="5">
        <f>Inception_data!B94</f>
        <v>151</v>
      </c>
      <c r="C94" s="5">
        <f>B94-SUM(Lapse_data!B94,Death_data!B94)</f>
        <v>135</v>
      </c>
      <c r="D94" s="5">
        <f>C94-SUM(Lapse_data!C94,Death_data!C94)</f>
        <v>120</v>
      </c>
      <c r="E94" s="5">
        <f>D94-SUM(Lapse_data!D94,Death_data!D94)</f>
        <v>100</v>
      </c>
      <c r="F94" s="5">
        <f>E94-SUM(Lapse_data!E94,Death_data!E94)</f>
        <v>91</v>
      </c>
      <c r="G94" s="5">
        <f>F94-SUM(Lapse_data!F94,Death_data!F94)</f>
        <v>85</v>
      </c>
      <c r="H94" s="5">
        <f>G94-SUM(Lapse_data!G94,Death_data!G94)</f>
        <v>79</v>
      </c>
      <c r="I94" s="5">
        <f>H94-SUM(Lapse_data!H94,Death_data!H94)</f>
        <v>71</v>
      </c>
      <c r="J94" s="5">
        <f>I94-SUM(Lapse_data!I94,Death_data!I94)</f>
        <v>69</v>
      </c>
      <c r="K94" s="5">
        <f>J94-SUM(Lapse_data!J94,Death_data!J94)</f>
        <v>66</v>
      </c>
      <c r="L94" s="5">
        <f>K94-SUM(Lapse_data!K94,Death_data!K94)</f>
        <v>61</v>
      </c>
      <c r="M94" s="5">
        <f>L94-SUM(Lapse_data!L94,Death_data!L94)</f>
        <v>60</v>
      </c>
      <c r="N94" s="5">
        <f>M94-SUM(Lapse_data!M94,Death_data!M94)</f>
        <v>56</v>
      </c>
      <c r="O94" s="5">
        <f xml:space="preserve"> N94 - SUM(Lapse_data!N94:Y94, Death_data!N94)</f>
        <v>37</v>
      </c>
      <c r="P94" s="5">
        <f xml:space="preserve"> O94 - SUM(Lapse_data!Z94:AK94, Death_data!O94)</f>
        <v>31</v>
      </c>
      <c r="Q94" s="5">
        <f xml:space="preserve"> P94 - SUM(Lapse_data!AL94:AW94, Death_data!P94)</f>
        <v>31</v>
      </c>
      <c r="R94" s="5">
        <f xml:space="preserve"> Q94 - SUM(Lapse_data!AX94:BI94, Death_data!Q94)</f>
        <v>31</v>
      </c>
      <c r="S94" s="5">
        <f xml:space="preserve"> R94 - SUM(Lapse_data!BJ94:BU94, Death_data!R94)</f>
        <v>31</v>
      </c>
      <c r="T94" s="5">
        <f xml:space="preserve"> S94 - SUM(Lapse_data!BV94:CG94, Death_data!S94)</f>
        <v>31</v>
      </c>
      <c r="U94" s="5">
        <f xml:space="preserve"> T94 - SUM(Lapse_data!CH94:CS94, Death_data!T94)</f>
        <v>31</v>
      </c>
      <c r="V94" s="5">
        <f xml:space="preserve"> U94 - SUM(Lapse_data!CT94:DE94, Death_data!U94)</f>
        <v>31</v>
      </c>
      <c r="W94" s="5">
        <f xml:space="preserve"> V94 - SUM(Lapse_data!DF94:DQ94, Death_data!V94)</f>
        <v>31</v>
      </c>
    </row>
    <row r="95" spans="1:23" x14ac:dyDescent="0.35">
      <c r="A95" s="1">
        <f t="shared" si="1"/>
        <v>44835</v>
      </c>
      <c r="B95" s="5">
        <f>Inception_data!B95</f>
        <v>218</v>
      </c>
      <c r="C95" s="5">
        <f>B95-SUM(Lapse_data!B95,Death_data!B95)</f>
        <v>201</v>
      </c>
      <c r="D95" s="5">
        <f>C95-SUM(Lapse_data!C95,Death_data!C95)</f>
        <v>180</v>
      </c>
      <c r="E95" s="5">
        <f>D95-SUM(Lapse_data!D95,Death_data!D95)</f>
        <v>161</v>
      </c>
      <c r="F95" s="5">
        <f>E95-SUM(Lapse_data!E95,Death_data!E95)</f>
        <v>152</v>
      </c>
      <c r="G95" s="5">
        <f>F95-SUM(Lapse_data!F95,Death_data!F95)</f>
        <v>140</v>
      </c>
      <c r="H95" s="5">
        <f>G95-SUM(Lapse_data!G95,Death_data!G95)</f>
        <v>132</v>
      </c>
      <c r="I95" s="5">
        <f>H95-SUM(Lapse_data!H95,Death_data!H95)</f>
        <v>126</v>
      </c>
      <c r="J95" s="5">
        <f>I95-SUM(Lapse_data!I95,Death_data!I95)</f>
        <v>119</v>
      </c>
      <c r="K95" s="5">
        <f>J95-SUM(Lapse_data!J95,Death_data!J95)</f>
        <v>115</v>
      </c>
      <c r="L95" s="5">
        <f>K95-SUM(Lapse_data!K95,Death_data!K95)</f>
        <v>105</v>
      </c>
      <c r="M95" s="5">
        <f>L95-SUM(Lapse_data!L95,Death_data!L95)</f>
        <v>96</v>
      </c>
      <c r="N95" s="5">
        <f>M95-SUM(Lapse_data!M95,Death_data!M95)</f>
        <v>89</v>
      </c>
      <c r="O95" s="5">
        <f xml:space="preserve"> N95 - SUM(Lapse_data!N95:Y95, Death_data!N95)</f>
        <v>55</v>
      </c>
      <c r="P95" s="5">
        <f xml:space="preserve"> O95 - SUM(Lapse_data!Z95:AK95, Death_data!O95)</f>
        <v>53</v>
      </c>
      <c r="Q95" s="5">
        <f xml:space="preserve"> P95 - SUM(Lapse_data!AL95:AW95, Death_data!P95)</f>
        <v>53</v>
      </c>
      <c r="R95" s="5">
        <f xml:space="preserve"> Q95 - SUM(Lapse_data!AX95:BI95, Death_data!Q95)</f>
        <v>53</v>
      </c>
      <c r="S95" s="5">
        <f xml:space="preserve"> R95 - SUM(Lapse_data!BJ95:BU95, Death_data!R95)</f>
        <v>53</v>
      </c>
      <c r="T95" s="5">
        <f xml:space="preserve"> S95 - SUM(Lapse_data!BV95:CG95, Death_data!S95)</f>
        <v>53</v>
      </c>
      <c r="U95" s="5">
        <f xml:space="preserve"> T95 - SUM(Lapse_data!CH95:CS95, Death_data!T95)</f>
        <v>53</v>
      </c>
      <c r="V95" s="5">
        <f xml:space="preserve"> U95 - SUM(Lapse_data!CT95:DE95, Death_data!U95)</f>
        <v>53</v>
      </c>
      <c r="W95" s="5">
        <f xml:space="preserve"> V95 - SUM(Lapse_data!DF95:DQ95, Death_data!V95)</f>
        <v>53</v>
      </c>
    </row>
    <row r="96" spans="1:23" x14ac:dyDescent="0.35">
      <c r="A96" s="1">
        <f t="shared" si="1"/>
        <v>44866</v>
      </c>
      <c r="B96" s="5">
        <f>Inception_data!B96</f>
        <v>208</v>
      </c>
      <c r="C96" s="5">
        <f>B96-SUM(Lapse_data!B96,Death_data!B96)</f>
        <v>186</v>
      </c>
      <c r="D96" s="5">
        <f>C96-SUM(Lapse_data!C96,Death_data!C96)</f>
        <v>173</v>
      </c>
      <c r="E96" s="5">
        <f>D96-SUM(Lapse_data!D96,Death_data!D96)</f>
        <v>156</v>
      </c>
      <c r="F96" s="5">
        <f>E96-SUM(Lapse_data!E96,Death_data!E96)</f>
        <v>140</v>
      </c>
      <c r="G96" s="5">
        <f>F96-SUM(Lapse_data!F96,Death_data!F96)</f>
        <v>129</v>
      </c>
      <c r="H96" s="5">
        <f>G96-SUM(Lapse_data!G96,Death_data!G96)</f>
        <v>119</v>
      </c>
      <c r="I96" s="5">
        <f>H96-SUM(Lapse_data!H96,Death_data!H96)</f>
        <v>112</v>
      </c>
      <c r="J96" s="5">
        <f>I96-SUM(Lapse_data!I96,Death_data!I96)</f>
        <v>101</v>
      </c>
      <c r="K96" s="5">
        <f>J96-SUM(Lapse_data!J96,Death_data!J96)</f>
        <v>92</v>
      </c>
      <c r="L96" s="5">
        <f>K96-SUM(Lapse_data!K96,Death_data!K96)</f>
        <v>84</v>
      </c>
      <c r="M96" s="5">
        <f>L96-SUM(Lapse_data!L96,Death_data!L96)</f>
        <v>77</v>
      </c>
      <c r="N96" s="5">
        <f>M96-SUM(Lapse_data!M96,Death_data!M96)</f>
        <v>68</v>
      </c>
      <c r="O96" s="5">
        <f xml:space="preserve"> N96 - SUM(Lapse_data!N96:Y96, Death_data!N96)</f>
        <v>39</v>
      </c>
      <c r="P96" s="5">
        <f xml:space="preserve"> O96 - SUM(Lapse_data!Z96:AK96, Death_data!O96)</f>
        <v>36</v>
      </c>
      <c r="Q96" s="5">
        <f xml:space="preserve"> P96 - SUM(Lapse_data!AL96:AW96, Death_data!P96)</f>
        <v>36</v>
      </c>
      <c r="R96" s="5">
        <f xml:space="preserve"> Q96 - SUM(Lapse_data!AX96:BI96, Death_data!Q96)</f>
        <v>36</v>
      </c>
      <c r="S96" s="5">
        <f xml:space="preserve"> R96 - SUM(Lapse_data!BJ96:BU96, Death_data!R96)</f>
        <v>36</v>
      </c>
      <c r="T96" s="5">
        <f xml:space="preserve"> S96 - SUM(Lapse_data!BV96:CG96, Death_data!S96)</f>
        <v>36</v>
      </c>
      <c r="U96" s="5">
        <f xml:space="preserve"> T96 - SUM(Lapse_data!CH96:CS96, Death_data!T96)</f>
        <v>36</v>
      </c>
      <c r="V96" s="5">
        <f xml:space="preserve"> U96 - SUM(Lapse_data!CT96:DE96, Death_data!U96)</f>
        <v>36</v>
      </c>
      <c r="W96" s="5">
        <f xml:space="preserve"> V96 - SUM(Lapse_data!DF96:DQ96, Death_data!V96)</f>
        <v>36</v>
      </c>
    </row>
    <row r="97" spans="1:23" x14ac:dyDescent="0.35">
      <c r="A97" s="1">
        <f t="shared" si="1"/>
        <v>44896</v>
      </c>
      <c r="B97" s="5">
        <f>Inception_data!B97</f>
        <v>292</v>
      </c>
      <c r="C97" s="5">
        <f>B97-SUM(Lapse_data!B97,Death_data!B97)</f>
        <v>260</v>
      </c>
      <c r="D97" s="5">
        <f>C97-SUM(Lapse_data!C97,Death_data!C97)</f>
        <v>232</v>
      </c>
      <c r="E97" s="5">
        <f>D97-SUM(Lapse_data!D97,Death_data!D97)</f>
        <v>203</v>
      </c>
      <c r="F97" s="5">
        <f>E97-SUM(Lapse_data!E97,Death_data!E97)</f>
        <v>190</v>
      </c>
      <c r="G97" s="5">
        <f>F97-SUM(Lapse_data!F97,Death_data!F97)</f>
        <v>171</v>
      </c>
      <c r="H97" s="5">
        <f>G97-SUM(Lapse_data!G97,Death_data!G97)</f>
        <v>154</v>
      </c>
      <c r="I97" s="5">
        <f>H97-SUM(Lapse_data!H97,Death_data!H97)</f>
        <v>147</v>
      </c>
      <c r="J97" s="5">
        <f>I97-SUM(Lapse_data!I97,Death_data!I97)</f>
        <v>125</v>
      </c>
      <c r="K97" s="5">
        <f>J97-SUM(Lapse_data!J97,Death_data!J97)</f>
        <v>116</v>
      </c>
      <c r="L97" s="5">
        <f>K97-SUM(Lapse_data!K97,Death_data!K97)</f>
        <v>108</v>
      </c>
      <c r="M97" s="5">
        <f>L97-SUM(Lapse_data!L97,Death_data!L97)</f>
        <v>97</v>
      </c>
      <c r="N97" s="5">
        <f>M97-SUM(Lapse_data!M97,Death_data!M97)</f>
        <v>89</v>
      </c>
      <c r="O97" s="5">
        <f xml:space="preserve"> N97 - SUM(Lapse_data!N97:Y97, Death_data!N97)</f>
        <v>57</v>
      </c>
      <c r="P97" s="5">
        <f xml:space="preserve"> O97 - SUM(Lapse_data!Z97:AK97, Death_data!O97)</f>
        <v>55</v>
      </c>
      <c r="Q97" s="5">
        <f xml:space="preserve"> P97 - SUM(Lapse_data!AL97:AW97, Death_data!P97)</f>
        <v>55</v>
      </c>
      <c r="R97" s="5">
        <f xml:space="preserve"> Q97 - SUM(Lapse_data!AX97:BI97, Death_data!Q97)</f>
        <v>55</v>
      </c>
      <c r="S97" s="5">
        <f xml:space="preserve"> R97 - SUM(Lapse_data!BJ97:BU97, Death_data!R97)</f>
        <v>55</v>
      </c>
      <c r="T97" s="5">
        <f xml:space="preserve"> S97 - SUM(Lapse_data!BV97:CG97, Death_data!S97)</f>
        <v>55</v>
      </c>
      <c r="U97" s="5">
        <f xml:space="preserve"> T97 - SUM(Lapse_data!CH97:CS97, Death_data!T97)</f>
        <v>55</v>
      </c>
      <c r="V97" s="5">
        <f xml:space="preserve"> U97 - SUM(Lapse_data!CT97:DE97, Death_data!U97)</f>
        <v>55</v>
      </c>
      <c r="W97" s="5">
        <f xml:space="preserve"> V97 - SUM(Lapse_data!DF97:DQ97, Death_data!V97)</f>
        <v>55</v>
      </c>
    </row>
    <row r="98" spans="1:23" x14ac:dyDescent="0.35">
      <c r="A98" s="4">
        <f t="shared" si="1"/>
        <v>44927</v>
      </c>
      <c r="B98" s="5">
        <f>Inception_data!B98</f>
        <v>273</v>
      </c>
      <c r="C98" s="5">
        <f>B98-SUM(Lapse_data!B98,Death_data!B98)</f>
        <v>245</v>
      </c>
      <c r="D98" s="5">
        <f>C98-SUM(Lapse_data!C98,Death_data!C98)</f>
        <v>211</v>
      </c>
      <c r="E98" s="5">
        <f>D98-SUM(Lapse_data!D98,Death_data!D98)</f>
        <v>191</v>
      </c>
      <c r="F98" s="5">
        <f>E98-SUM(Lapse_data!E98,Death_data!E98)</f>
        <v>171</v>
      </c>
      <c r="G98" s="5">
        <f>F98-SUM(Lapse_data!F98,Death_data!F98)</f>
        <v>151</v>
      </c>
      <c r="H98" s="5">
        <f>G98-SUM(Lapse_data!G98,Death_data!G98)</f>
        <v>143</v>
      </c>
      <c r="I98" s="5">
        <f>H98-SUM(Lapse_data!H98,Death_data!H98)</f>
        <v>132</v>
      </c>
      <c r="J98" s="5">
        <f>I98-SUM(Lapse_data!I98,Death_data!I98)</f>
        <v>127</v>
      </c>
      <c r="K98" s="5">
        <f>J98-SUM(Lapse_data!J98,Death_data!J98)</f>
        <v>121</v>
      </c>
      <c r="L98" s="5">
        <f>K98-SUM(Lapse_data!K98,Death_data!K98)</f>
        <v>116</v>
      </c>
      <c r="M98" s="5">
        <f>L98-SUM(Lapse_data!L98,Death_data!L98)</f>
        <v>106</v>
      </c>
      <c r="N98" s="5">
        <f>M98-SUM(Lapse_data!M98,Death_data!M98)</f>
        <v>100</v>
      </c>
      <c r="O98" s="5">
        <f xml:space="preserve"> N98 - SUM(Lapse_data!N98:Y98, Death_data!N98)</f>
        <v>64</v>
      </c>
      <c r="P98" s="5">
        <f xml:space="preserve"> O98 - SUM(Lapse_data!Z98:AK98, Death_data!O98)</f>
        <v>64</v>
      </c>
      <c r="Q98" s="5">
        <f xml:space="preserve"> P98 - SUM(Lapse_data!AL98:AW98, Death_data!P98)</f>
        <v>64</v>
      </c>
      <c r="R98" s="5">
        <f xml:space="preserve"> Q98 - SUM(Lapse_data!AX98:BI98, Death_data!Q98)</f>
        <v>64</v>
      </c>
      <c r="S98" s="5">
        <f xml:space="preserve"> R98 - SUM(Lapse_data!BJ98:BU98, Death_data!R98)</f>
        <v>64</v>
      </c>
      <c r="T98" s="5">
        <f xml:space="preserve"> S98 - SUM(Lapse_data!BV98:CG98, Death_data!S98)</f>
        <v>64</v>
      </c>
      <c r="U98" s="5">
        <f xml:space="preserve"> T98 - SUM(Lapse_data!CH98:CS98, Death_data!T98)</f>
        <v>64</v>
      </c>
      <c r="V98" s="5">
        <f xml:space="preserve"> U98 - SUM(Lapse_data!CT98:DE98, Death_data!U98)</f>
        <v>64</v>
      </c>
      <c r="W98" s="5">
        <f xml:space="preserve"> V98 - SUM(Lapse_data!DF98:DQ98, Death_data!V98)</f>
        <v>64</v>
      </c>
    </row>
    <row r="99" spans="1:23" x14ac:dyDescent="0.35">
      <c r="A99" s="1">
        <f t="shared" si="1"/>
        <v>44958</v>
      </c>
      <c r="B99" s="5">
        <f>Inception_data!B99</f>
        <v>296</v>
      </c>
      <c r="C99" s="5">
        <f>B99-SUM(Lapse_data!B99,Death_data!B99)</f>
        <v>255</v>
      </c>
      <c r="D99" s="5">
        <f>C99-SUM(Lapse_data!C99,Death_data!C99)</f>
        <v>229</v>
      </c>
      <c r="E99" s="5">
        <f>D99-SUM(Lapse_data!D99,Death_data!D99)</f>
        <v>195</v>
      </c>
      <c r="F99" s="5">
        <f>E99-SUM(Lapse_data!E99,Death_data!E99)</f>
        <v>165</v>
      </c>
      <c r="G99" s="5">
        <f>F99-SUM(Lapse_data!F99,Death_data!F99)</f>
        <v>142</v>
      </c>
      <c r="H99" s="5">
        <f>G99-SUM(Lapse_data!G99,Death_data!G99)</f>
        <v>131</v>
      </c>
      <c r="I99" s="5">
        <f>H99-SUM(Lapse_data!H99,Death_data!H99)</f>
        <v>125</v>
      </c>
      <c r="J99" s="5">
        <f>I99-SUM(Lapse_data!I99,Death_data!I99)</f>
        <v>120</v>
      </c>
      <c r="K99" s="5">
        <f>J99-SUM(Lapse_data!J99,Death_data!J99)</f>
        <v>109</v>
      </c>
      <c r="L99" s="5">
        <f>K99-SUM(Lapse_data!K99,Death_data!K99)</f>
        <v>105</v>
      </c>
      <c r="M99" s="5">
        <f>L99-SUM(Lapse_data!L99,Death_data!L99)</f>
        <v>98</v>
      </c>
      <c r="N99" s="5">
        <f>M99-SUM(Lapse_data!M99,Death_data!M99)</f>
        <v>94</v>
      </c>
      <c r="O99" s="5">
        <f xml:space="preserve"> N99 - SUM(Lapse_data!N99:Y99, Death_data!N99)</f>
        <v>60</v>
      </c>
      <c r="P99" s="5">
        <f xml:space="preserve"> O99 - SUM(Lapse_data!Z99:AK99, Death_data!O99)</f>
        <v>60</v>
      </c>
      <c r="Q99" s="5">
        <f xml:space="preserve"> P99 - SUM(Lapse_data!AL99:AW99, Death_data!P99)</f>
        <v>60</v>
      </c>
      <c r="R99" s="5">
        <f xml:space="preserve"> Q99 - SUM(Lapse_data!AX99:BI99, Death_data!Q99)</f>
        <v>60</v>
      </c>
      <c r="S99" s="5">
        <f xml:space="preserve"> R99 - SUM(Lapse_data!BJ99:BU99, Death_data!R99)</f>
        <v>60</v>
      </c>
      <c r="T99" s="5">
        <f xml:space="preserve"> S99 - SUM(Lapse_data!BV99:CG99, Death_data!S99)</f>
        <v>60</v>
      </c>
      <c r="U99" s="5">
        <f xml:space="preserve"> T99 - SUM(Lapse_data!CH99:CS99, Death_data!T99)</f>
        <v>60</v>
      </c>
      <c r="V99" s="5">
        <f xml:space="preserve"> U99 - SUM(Lapse_data!CT99:DE99, Death_data!U99)</f>
        <v>60</v>
      </c>
      <c r="W99" s="5">
        <f xml:space="preserve"> V99 - SUM(Lapse_data!DF99:DQ99, Death_data!V99)</f>
        <v>60</v>
      </c>
    </row>
    <row r="100" spans="1:23" x14ac:dyDescent="0.35">
      <c r="A100" s="1">
        <f t="shared" si="1"/>
        <v>44986</v>
      </c>
      <c r="B100" s="5">
        <f>Inception_data!B100</f>
        <v>317</v>
      </c>
      <c r="C100" s="5">
        <f>B100-SUM(Lapse_data!B100,Death_data!B100)</f>
        <v>271</v>
      </c>
      <c r="D100" s="5">
        <f>C100-SUM(Lapse_data!C100,Death_data!C100)</f>
        <v>229</v>
      </c>
      <c r="E100" s="5">
        <f>D100-SUM(Lapse_data!D100,Death_data!D100)</f>
        <v>169</v>
      </c>
      <c r="F100" s="5">
        <f>E100-SUM(Lapse_data!E100,Death_data!E100)</f>
        <v>150</v>
      </c>
      <c r="G100" s="5">
        <f>F100-SUM(Lapse_data!F100,Death_data!F100)</f>
        <v>135</v>
      </c>
      <c r="H100" s="5">
        <f>G100-SUM(Lapse_data!G100,Death_data!G100)</f>
        <v>125</v>
      </c>
      <c r="I100" s="5">
        <f>H100-SUM(Lapse_data!H100,Death_data!H100)</f>
        <v>122</v>
      </c>
      <c r="J100" s="5">
        <f>I100-SUM(Lapse_data!I100,Death_data!I100)</f>
        <v>114</v>
      </c>
      <c r="K100" s="5">
        <f>J100-SUM(Lapse_data!J100,Death_data!J100)</f>
        <v>106</v>
      </c>
      <c r="L100" s="5">
        <f>K100-SUM(Lapse_data!K100,Death_data!K100)</f>
        <v>97</v>
      </c>
      <c r="M100" s="5">
        <f>L100-SUM(Lapse_data!L100,Death_data!L100)</f>
        <v>91</v>
      </c>
      <c r="N100" s="5">
        <f>M100-SUM(Lapse_data!M100,Death_data!M100)</f>
        <v>83</v>
      </c>
      <c r="O100" s="5">
        <f xml:space="preserve"> N100 - SUM(Lapse_data!N100:Y100, Death_data!N100)</f>
        <v>52</v>
      </c>
      <c r="P100" s="5">
        <f xml:space="preserve"> O100 - SUM(Lapse_data!Z100:AK100, Death_data!O100)</f>
        <v>52</v>
      </c>
      <c r="Q100" s="5">
        <f xml:space="preserve"> P100 - SUM(Lapse_data!AL100:AW100, Death_data!P100)</f>
        <v>52</v>
      </c>
      <c r="R100" s="5">
        <f xml:space="preserve"> Q100 - SUM(Lapse_data!AX100:BI100, Death_data!Q100)</f>
        <v>52</v>
      </c>
      <c r="S100" s="5">
        <f xml:space="preserve"> R100 - SUM(Lapse_data!BJ100:BU100, Death_data!R100)</f>
        <v>52</v>
      </c>
      <c r="T100" s="5">
        <f xml:space="preserve"> S100 - SUM(Lapse_data!BV100:CG100, Death_data!S100)</f>
        <v>52</v>
      </c>
      <c r="U100" s="5">
        <f xml:space="preserve"> T100 - SUM(Lapse_data!CH100:CS100, Death_data!T100)</f>
        <v>52</v>
      </c>
      <c r="V100" s="5">
        <f xml:space="preserve"> U100 - SUM(Lapse_data!CT100:DE100, Death_data!U100)</f>
        <v>52</v>
      </c>
      <c r="W100" s="5">
        <f xml:space="preserve"> V100 - SUM(Lapse_data!DF100:DQ100, Death_data!V100)</f>
        <v>52</v>
      </c>
    </row>
    <row r="101" spans="1:23" x14ac:dyDescent="0.35">
      <c r="A101" s="1">
        <f t="shared" si="1"/>
        <v>45017</v>
      </c>
      <c r="B101" s="5">
        <f>Inception_data!B101</f>
        <v>369</v>
      </c>
      <c r="C101" s="5">
        <f>B101-SUM(Lapse_data!B101,Death_data!B101)</f>
        <v>316</v>
      </c>
      <c r="D101" s="5">
        <f>C101-SUM(Lapse_data!C101,Death_data!C101)</f>
        <v>262</v>
      </c>
      <c r="E101" s="5">
        <f>D101-SUM(Lapse_data!D101,Death_data!D101)</f>
        <v>227</v>
      </c>
      <c r="F101" s="5">
        <f>E101-SUM(Lapse_data!E101,Death_data!E101)</f>
        <v>202</v>
      </c>
      <c r="G101" s="5">
        <f>F101-SUM(Lapse_data!F101,Death_data!F101)</f>
        <v>183</v>
      </c>
      <c r="H101" s="5">
        <f>G101-SUM(Lapse_data!G101,Death_data!G101)</f>
        <v>171</v>
      </c>
      <c r="I101" s="5">
        <f>H101-SUM(Lapse_data!H101,Death_data!H101)</f>
        <v>160</v>
      </c>
      <c r="J101" s="5">
        <f>I101-SUM(Lapse_data!I101,Death_data!I101)</f>
        <v>144</v>
      </c>
      <c r="K101" s="5">
        <f>J101-SUM(Lapse_data!J101,Death_data!J101)</f>
        <v>131</v>
      </c>
      <c r="L101" s="5">
        <f>K101-SUM(Lapse_data!K101,Death_data!K101)</f>
        <v>127</v>
      </c>
      <c r="M101" s="5">
        <f>L101-SUM(Lapse_data!L101,Death_data!L101)</f>
        <v>119</v>
      </c>
      <c r="N101" s="5">
        <f>M101-SUM(Lapse_data!M101,Death_data!M101)</f>
        <v>111</v>
      </c>
      <c r="O101" s="5">
        <f xml:space="preserve"> N101 - SUM(Lapse_data!N101:Y101, Death_data!N101)</f>
        <v>70</v>
      </c>
      <c r="P101" s="5">
        <f xml:space="preserve"> O101 - SUM(Lapse_data!Z101:AK101, Death_data!O101)</f>
        <v>70</v>
      </c>
      <c r="Q101" s="5">
        <f xml:space="preserve"> P101 - SUM(Lapse_data!AL101:AW101, Death_data!P101)</f>
        <v>70</v>
      </c>
      <c r="R101" s="5">
        <f xml:space="preserve"> Q101 - SUM(Lapse_data!AX101:BI101, Death_data!Q101)</f>
        <v>70</v>
      </c>
      <c r="S101" s="5">
        <f xml:space="preserve"> R101 - SUM(Lapse_data!BJ101:BU101, Death_data!R101)</f>
        <v>70</v>
      </c>
      <c r="T101" s="5">
        <f xml:space="preserve"> S101 - SUM(Lapse_data!BV101:CG101, Death_data!S101)</f>
        <v>70</v>
      </c>
      <c r="U101" s="5">
        <f xml:space="preserve"> T101 - SUM(Lapse_data!CH101:CS101, Death_data!T101)</f>
        <v>70</v>
      </c>
      <c r="V101" s="5">
        <f xml:space="preserve"> U101 - SUM(Lapse_data!CT101:DE101, Death_data!U101)</f>
        <v>70</v>
      </c>
      <c r="W101" s="5">
        <f xml:space="preserve"> V101 - SUM(Lapse_data!DF101:DQ101, Death_data!V101)</f>
        <v>70</v>
      </c>
    </row>
    <row r="102" spans="1:23" x14ac:dyDescent="0.35">
      <c r="A102" s="1">
        <f t="shared" si="1"/>
        <v>45047</v>
      </c>
      <c r="B102" s="5">
        <f>Inception_data!B102</f>
        <v>379</v>
      </c>
      <c r="C102" s="5">
        <f>B102-SUM(Lapse_data!B102,Death_data!B102)</f>
        <v>318</v>
      </c>
      <c r="D102" s="5">
        <f>C102-SUM(Lapse_data!C102,Death_data!C102)</f>
        <v>277</v>
      </c>
      <c r="E102" s="5">
        <f>D102-SUM(Lapse_data!D102,Death_data!D102)</f>
        <v>229</v>
      </c>
      <c r="F102" s="5">
        <f>E102-SUM(Lapse_data!E102,Death_data!E102)</f>
        <v>205</v>
      </c>
      <c r="G102" s="5">
        <f>F102-SUM(Lapse_data!F102,Death_data!F102)</f>
        <v>191</v>
      </c>
      <c r="H102" s="5">
        <f>G102-SUM(Lapse_data!G102,Death_data!G102)</f>
        <v>177</v>
      </c>
      <c r="I102" s="5">
        <f>H102-SUM(Lapse_data!H102,Death_data!H102)</f>
        <v>165</v>
      </c>
      <c r="J102" s="5">
        <f>I102-SUM(Lapse_data!I102,Death_data!I102)</f>
        <v>159</v>
      </c>
      <c r="K102" s="5">
        <f>J102-SUM(Lapse_data!J102,Death_data!J102)</f>
        <v>144</v>
      </c>
      <c r="L102" s="5">
        <f>K102-SUM(Lapse_data!K102,Death_data!K102)</f>
        <v>133</v>
      </c>
      <c r="M102" s="5">
        <f>L102-SUM(Lapse_data!L102,Death_data!L102)</f>
        <v>123</v>
      </c>
      <c r="N102" s="5">
        <f>M102-SUM(Lapse_data!M102,Death_data!M102)</f>
        <v>112</v>
      </c>
      <c r="O102" s="5">
        <f xml:space="preserve"> N102 - SUM(Lapse_data!N102:Y102, Death_data!N102)</f>
        <v>81</v>
      </c>
      <c r="P102" s="5">
        <f xml:space="preserve"> O102 - SUM(Lapse_data!Z102:AK102, Death_data!O102)</f>
        <v>81</v>
      </c>
      <c r="Q102" s="5">
        <f xml:space="preserve"> P102 - SUM(Lapse_data!AL102:AW102, Death_data!P102)</f>
        <v>81</v>
      </c>
      <c r="R102" s="5">
        <f xml:space="preserve"> Q102 - SUM(Lapse_data!AX102:BI102, Death_data!Q102)</f>
        <v>81</v>
      </c>
      <c r="S102" s="5">
        <f xml:space="preserve"> R102 - SUM(Lapse_data!BJ102:BU102, Death_data!R102)</f>
        <v>81</v>
      </c>
      <c r="T102" s="5">
        <f xml:space="preserve"> S102 - SUM(Lapse_data!BV102:CG102, Death_data!S102)</f>
        <v>81</v>
      </c>
      <c r="U102" s="5">
        <f xml:space="preserve"> T102 - SUM(Lapse_data!CH102:CS102, Death_data!T102)</f>
        <v>81</v>
      </c>
      <c r="V102" s="5">
        <f xml:space="preserve"> U102 - SUM(Lapse_data!CT102:DE102, Death_data!U102)</f>
        <v>81</v>
      </c>
      <c r="W102" s="5">
        <f xml:space="preserve"> V102 - SUM(Lapse_data!DF102:DQ102, Death_data!V102)</f>
        <v>81</v>
      </c>
    </row>
    <row r="103" spans="1:23" x14ac:dyDescent="0.35">
      <c r="A103" s="1">
        <f t="shared" si="1"/>
        <v>45078</v>
      </c>
      <c r="B103" s="5">
        <f>Inception_data!B103</f>
        <v>266</v>
      </c>
      <c r="C103" s="5">
        <f>B103-SUM(Lapse_data!B103,Death_data!B103)</f>
        <v>217</v>
      </c>
      <c r="D103" s="5">
        <f>C103-SUM(Lapse_data!C103,Death_data!C103)</f>
        <v>192</v>
      </c>
      <c r="E103" s="5">
        <f>D103-SUM(Lapse_data!D103,Death_data!D103)</f>
        <v>173</v>
      </c>
      <c r="F103" s="5">
        <f>E103-SUM(Lapse_data!E103,Death_data!E103)</f>
        <v>160</v>
      </c>
      <c r="G103" s="5">
        <f>F103-SUM(Lapse_data!F103,Death_data!F103)</f>
        <v>145</v>
      </c>
      <c r="H103" s="5">
        <f>G103-SUM(Lapse_data!G103,Death_data!G103)</f>
        <v>133</v>
      </c>
      <c r="I103" s="5">
        <f>H103-SUM(Lapse_data!H103,Death_data!H103)</f>
        <v>125</v>
      </c>
      <c r="J103" s="5">
        <f>I103-SUM(Lapse_data!I103,Death_data!I103)</f>
        <v>118</v>
      </c>
      <c r="K103" s="5">
        <f>J103-SUM(Lapse_data!J103,Death_data!J103)</f>
        <v>109</v>
      </c>
      <c r="L103" s="5">
        <f>K103-SUM(Lapse_data!K103,Death_data!K103)</f>
        <v>99</v>
      </c>
      <c r="M103" s="5">
        <f>L103-SUM(Lapse_data!L103,Death_data!L103)</f>
        <v>90</v>
      </c>
      <c r="N103" s="5">
        <f>M103-SUM(Lapse_data!M103,Death_data!M103)</f>
        <v>82</v>
      </c>
      <c r="O103" s="5">
        <f xml:space="preserve"> N103 - SUM(Lapse_data!N103:Y103, Death_data!N103)</f>
        <v>56</v>
      </c>
      <c r="P103" s="5">
        <f xml:space="preserve"> O103 - SUM(Lapse_data!Z103:AK103, Death_data!O103)</f>
        <v>56</v>
      </c>
      <c r="Q103" s="5">
        <f xml:space="preserve"> P103 - SUM(Lapse_data!AL103:AW103, Death_data!P103)</f>
        <v>56</v>
      </c>
      <c r="R103" s="5">
        <f xml:space="preserve"> Q103 - SUM(Lapse_data!AX103:BI103, Death_data!Q103)</f>
        <v>56</v>
      </c>
      <c r="S103" s="5">
        <f xml:space="preserve"> R103 - SUM(Lapse_data!BJ103:BU103, Death_data!R103)</f>
        <v>56</v>
      </c>
      <c r="T103" s="5">
        <f xml:space="preserve"> S103 - SUM(Lapse_data!BV103:CG103, Death_data!S103)</f>
        <v>56</v>
      </c>
      <c r="U103" s="5">
        <f xml:space="preserve"> T103 - SUM(Lapse_data!CH103:CS103, Death_data!T103)</f>
        <v>56</v>
      </c>
      <c r="V103" s="5">
        <f xml:space="preserve"> U103 - SUM(Lapse_data!CT103:DE103, Death_data!U103)</f>
        <v>56</v>
      </c>
      <c r="W103" s="5">
        <f xml:space="preserve"> V103 - SUM(Lapse_data!DF103:DQ103, Death_data!V103)</f>
        <v>56</v>
      </c>
    </row>
    <row r="104" spans="1:23" x14ac:dyDescent="0.35">
      <c r="A104" s="1">
        <f t="shared" si="1"/>
        <v>45108</v>
      </c>
      <c r="B104" s="5">
        <f>Inception_data!B104</f>
        <v>256</v>
      </c>
      <c r="C104" s="5">
        <f>B104-SUM(Lapse_data!B104,Death_data!B104)</f>
        <v>212</v>
      </c>
      <c r="D104" s="5">
        <f>C104-SUM(Lapse_data!C104,Death_data!C104)</f>
        <v>186</v>
      </c>
      <c r="E104" s="5">
        <f>D104-SUM(Lapse_data!D104,Death_data!D104)</f>
        <v>161</v>
      </c>
      <c r="F104" s="5">
        <f>E104-SUM(Lapse_data!E104,Death_data!E104)</f>
        <v>146</v>
      </c>
      <c r="G104" s="5">
        <f>F104-SUM(Lapse_data!F104,Death_data!F104)</f>
        <v>139</v>
      </c>
      <c r="H104" s="5">
        <f>G104-SUM(Lapse_data!G104,Death_data!G104)</f>
        <v>129</v>
      </c>
      <c r="I104" s="5">
        <f>H104-SUM(Lapse_data!H104,Death_data!H104)</f>
        <v>118</v>
      </c>
      <c r="J104" s="5">
        <f>I104-SUM(Lapse_data!I104,Death_data!I104)</f>
        <v>111</v>
      </c>
      <c r="K104" s="5">
        <f>J104-SUM(Lapse_data!J104,Death_data!J104)</f>
        <v>106</v>
      </c>
      <c r="L104" s="5">
        <f>K104-SUM(Lapse_data!K104,Death_data!K104)</f>
        <v>103</v>
      </c>
      <c r="M104" s="5">
        <f>L104-SUM(Lapse_data!L104,Death_data!L104)</f>
        <v>99</v>
      </c>
      <c r="N104" s="5">
        <f>M104-SUM(Lapse_data!M104,Death_data!M104)</f>
        <v>92</v>
      </c>
      <c r="O104" s="5">
        <f xml:space="preserve"> N104 - SUM(Lapse_data!N104:Y104, Death_data!N104)</f>
        <v>79</v>
      </c>
      <c r="P104" s="5">
        <f xml:space="preserve"> O104 - SUM(Lapse_data!Z104:AK104, Death_data!O104)</f>
        <v>79</v>
      </c>
      <c r="Q104" s="5">
        <f xml:space="preserve"> P104 - SUM(Lapse_data!AL104:AW104, Death_data!P104)</f>
        <v>79</v>
      </c>
      <c r="R104" s="5">
        <f xml:space="preserve"> Q104 - SUM(Lapse_data!AX104:BI104, Death_data!Q104)</f>
        <v>79</v>
      </c>
      <c r="S104" s="5">
        <f xml:space="preserve"> R104 - SUM(Lapse_data!BJ104:BU104, Death_data!R104)</f>
        <v>79</v>
      </c>
      <c r="T104" s="5">
        <f xml:space="preserve"> S104 - SUM(Lapse_data!BV104:CG104, Death_data!S104)</f>
        <v>79</v>
      </c>
      <c r="U104" s="5">
        <f xml:space="preserve"> T104 - SUM(Lapse_data!CH104:CS104, Death_data!T104)</f>
        <v>79</v>
      </c>
      <c r="V104" s="5">
        <f xml:space="preserve"> U104 - SUM(Lapse_data!CT104:DE104, Death_data!U104)</f>
        <v>79</v>
      </c>
      <c r="W104" s="5">
        <f xml:space="preserve"> V104 - SUM(Lapse_data!DF104:DQ104, Death_data!V104)</f>
        <v>79</v>
      </c>
    </row>
    <row r="105" spans="1:23" x14ac:dyDescent="0.35">
      <c r="A105" s="1">
        <f t="shared" si="1"/>
        <v>45139</v>
      </c>
      <c r="B105" s="5">
        <f>Inception_data!B105</f>
        <v>262</v>
      </c>
      <c r="C105" s="5">
        <f>B105-SUM(Lapse_data!B105,Death_data!B105)</f>
        <v>219</v>
      </c>
      <c r="D105" s="5">
        <f>C105-SUM(Lapse_data!C105,Death_data!C105)</f>
        <v>185</v>
      </c>
      <c r="E105" s="5">
        <f>D105-SUM(Lapse_data!D105,Death_data!D105)</f>
        <v>158</v>
      </c>
      <c r="F105" s="5">
        <f>E105-SUM(Lapse_data!E105,Death_data!E105)</f>
        <v>136</v>
      </c>
      <c r="G105" s="5">
        <f>F105-SUM(Lapse_data!F105,Death_data!F105)</f>
        <v>128</v>
      </c>
      <c r="H105" s="5">
        <f>G105-SUM(Lapse_data!G105,Death_data!G105)</f>
        <v>118</v>
      </c>
      <c r="I105" s="5">
        <f>H105-SUM(Lapse_data!H105,Death_data!H105)</f>
        <v>103</v>
      </c>
      <c r="J105" s="5">
        <f>I105-SUM(Lapse_data!I105,Death_data!I105)</f>
        <v>96</v>
      </c>
      <c r="K105" s="5">
        <f>J105-SUM(Lapse_data!J105,Death_data!J105)</f>
        <v>88</v>
      </c>
      <c r="L105" s="5">
        <f>K105-SUM(Lapse_data!K105,Death_data!K105)</f>
        <v>86</v>
      </c>
      <c r="M105" s="5">
        <f>L105-SUM(Lapse_data!L105,Death_data!L105)</f>
        <v>84</v>
      </c>
      <c r="N105" s="5">
        <f>M105-SUM(Lapse_data!M105,Death_data!M105)</f>
        <v>77</v>
      </c>
      <c r="O105" s="5">
        <f xml:space="preserve"> N105 - SUM(Lapse_data!N105:Y105, Death_data!N105)</f>
        <v>61</v>
      </c>
      <c r="P105" s="5">
        <f xml:space="preserve"> O105 - SUM(Lapse_data!Z105:AK105, Death_data!O105)</f>
        <v>61</v>
      </c>
      <c r="Q105" s="5">
        <f xml:space="preserve"> P105 - SUM(Lapse_data!AL105:AW105, Death_data!P105)</f>
        <v>61</v>
      </c>
      <c r="R105" s="5">
        <f xml:space="preserve"> Q105 - SUM(Lapse_data!AX105:BI105, Death_data!Q105)</f>
        <v>61</v>
      </c>
      <c r="S105" s="5">
        <f xml:space="preserve"> R105 - SUM(Lapse_data!BJ105:BU105, Death_data!R105)</f>
        <v>61</v>
      </c>
      <c r="T105" s="5">
        <f xml:space="preserve"> S105 - SUM(Lapse_data!BV105:CG105, Death_data!S105)</f>
        <v>61</v>
      </c>
      <c r="U105" s="5">
        <f xml:space="preserve"> T105 - SUM(Lapse_data!CH105:CS105, Death_data!T105)</f>
        <v>61</v>
      </c>
      <c r="V105" s="5">
        <f xml:space="preserve"> U105 - SUM(Lapse_data!CT105:DE105, Death_data!U105)</f>
        <v>61</v>
      </c>
      <c r="W105" s="5">
        <f xml:space="preserve"> V105 - SUM(Lapse_data!DF105:DQ105, Death_data!V105)</f>
        <v>61</v>
      </c>
    </row>
    <row r="106" spans="1:23" x14ac:dyDescent="0.35">
      <c r="A106" s="1">
        <f t="shared" si="1"/>
        <v>45170</v>
      </c>
      <c r="B106" s="5">
        <f>Inception_data!B106</f>
        <v>238</v>
      </c>
      <c r="C106" s="5">
        <f>B106-SUM(Lapse_data!B106,Death_data!B106)</f>
        <v>192</v>
      </c>
      <c r="D106" s="5">
        <f>C106-SUM(Lapse_data!C106,Death_data!C106)</f>
        <v>167</v>
      </c>
      <c r="E106" s="5">
        <f>D106-SUM(Lapse_data!D106,Death_data!D106)</f>
        <v>133</v>
      </c>
      <c r="F106" s="5">
        <f>E106-SUM(Lapse_data!E106,Death_data!E106)</f>
        <v>117</v>
      </c>
      <c r="G106" s="5">
        <f>F106-SUM(Lapse_data!F106,Death_data!F106)</f>
        <v>103</v>
      </c>
      <c r="H106" s="5">
        <f>G106-SUM(Lapse_data!G106,Death_data!G106)</f>
        <v>94</v>
      </c>
      <c r="I106" s="5">
        <f>H106-SUM(Lapse_data!H106,Death_data!H106)</f>
        <v>86</v>
      </c>
      <c r="J106" s="5">
        <f>I106-SUM(Lapse_data!I106,Death_data!I106)</f>
        <v>78</v>
      </c>
      <c r="K106" s="5">
        <f>J106-SUM(Lapse_data!J106,Death_data!J106)</f>
        <v>75</v>
      </c>
      <c r="L106" s="5">
        <f>K106-SUM(Lapse_data!K106,Death_data!K106)</f>
        <v>68</v>
      </c>
      <c r="M106" s="5">
        <f>L106-SUM(Lapse_data!L106,Death_data!L106)</f>
        <v>61</v>
      </c>
      <c r="N106" s="5">
        <f>M106-SUM(Lapse_data!M106,Death_data!M106)</f>
        <v>59</v>
      </c>
      <c r="O106" s="5">
        <f xml:space="preserve"> N106 - SUM(Lapse_data!N106:Y106, Death_data!N106)</f>
        <v>50</v>
      </c>
      <c r="P106" s="5">
        <f xml:space="preserve"> O106 - SUM(Lapse_data!Z106:AK106, Death_data!O106)</f>
        <v>50</v>
      </c>
      <c r="Q106" s="5">
        <f xml:space="preserve"> P106 - SUM(Lapse_data!AL106:AW106, Death_data!P106)</f>
        <v>50</v>
      </c>
      <c r="R106" s="5">
        <f xml:space="preserve"> Q106 - SUM(Lapse_data!AX106:BI106, Death_data!Q106)</f>
        <v>50</v>
      </c>
      <c r="S106" s="5">
        <f xml:space="preserve"> R106 - SUM(Lapse_data!BJ106:BU106, Death_data!R106)</f>
        <v>50</v>
      </c>
      <c r="T106" s="5">
        <f xml:space="preserve"> S106 - SUM(Lapse_data!BV106:CG106, Death_data!S106)</f>
        <v>50</v>
      </c>
      <c r="U106" s="5">
        <f xml:space="preserve"> T106 - SUM(Lapse_data!CH106:CS106, Death_data!T106)</f>
        <v>50</v>
      </c>
      <c r="V106" s="5">
        <f xml:space="preserve"> U106 - SUM(Lapse_data!CT106:DE106, Death_data!U106)</f>
        <v>50</v>
      </c>
      <c r="W106" s="5">
        <f xml:space="preserve"> V106 - SUM(Lapse_data!DF106:DQ106, Death_data!V106)</f>
        <v>50</v>
      </c>
    </row>
    <row r="107" spans="1:23" x14ac:dyDescent="0.35">
      <c r="A107" s="1">
        <f t="shared" si="1"/>
        <v>45200</v>
      </c>
      <c r="B107" s="5">
        <f>Inception_data!B107</f>
        <v>215</v>
      </c>
      <c r="C107" s="5">
        <f>B107-SUM(Lapse_data!B107,Death_data!B107)</f>
        <v>180</v>
      </c>
      <c r="D107" s="5">
        <f>C107-SUM(Lapse_data!C107,Death_data!C107)</f>
        <v>153</v>
      </c>
      <c r="E107" s="5">
        <f>D107-SUM(Lapse_data!D107,Death_data!D107)</f>
        <v>132</v>
      </c>
      <c r="F107" s="5">
        <f>E107-SUM(Lapse_data!E107,Death_data!E107)</f>
        <v>122</v>
      </c>
      <c r="G107" s="5">
        <f>F107-SUM(Lapse_data!F107,Death_data!F107)</f>
        <v>116</v>
      </c>
      <c r="H107" s="5">
        <f>G107-SUM(Lapse_data!G107,Death_data!G107)</f>
        <v>104</v>
      </c>
      <c r="I107" s="5">
        <f>H107-SUM(Lapse_data!H107,Death_data!H107)</f>
        <v>100</v>
      </c>
      <c r="J107" s="5">
        <f>I107-SUM(Lapse_data!I107,Death_data!I107)</f>
        <v>96</v>
      </c>
      <c r="K107" s="5">
        <f>J107-SUM(Lapse_data!J107,Death_data!J107)</f>
        <v>90</v>
      </c>
      <c r="L107" s="5">
        <f>K107-SUM(Lapse_data!K107,Death_data!K107)</f>
        <v>85</v>
      </c>
      <c r="M107" s="5">
        <f>L107-SUM(Lapse_data!L107,Death_data!L107)</f>
        <v>82</v>
      </c>
      <c r="N107" s="5">
        <f>M107-SUM(Lapse_data!M107,Death_data!M107)</f>
        <v>79</v>
      </c>
      <c r="O107" s="5">
        <f xml:space="preserve"> N107 - SUM(Lapse_data!N107:Y107, Death_data!N107)</f>
        <v>73</v>
      </c>
      <c r="P107" s="5">
        <f xml:space="preserve"> O107 - SUM(Lapse_data!Z107:AK107, Death_data!O107)</f>
        <v>73</v>
      </c>
      <c r="Q107" s="5">
        <f xml:space="preserve"> P107 - SUM(Lapse_data!AL107:AW107, Death_data!P107)</f>
        <v>73</v>
      </c>
      <c r="R107" s="5">
        <f xml:space="preserve"> Q107 - SUM(Lapse_data!AX107:BI107, Death_data!Q107)</f>
        <v>73</v>
      </c>
      <c r="S107" s="5">
        <f xml:space="preserve"> R107 - SUM(Lapse_data!BJ107:BU107, Death_data!R107)</f>
        <v>73</v>
      </c>
      <c r="T107" s="5">
        <f xml:space="preserve"> S107 - SUM(Lapse_data!BV107:CG107, Death_data!S107)</f>
        <v>73</v>
      </c>
      <c r="U107" s="5">
        <f xml:space="preserve"> T107 - SUM(Lapse_data!CH107:CS107, Death_data!T107)</f>
        <v>73</v>
      </c>
      <c r="V107" s="5">
        <f xml:space="preserve"> U107 - SUM(Lapse_data!CT107:DE107, Death_data!U107)</f>
        <v>73</v>
      </c>
      <c r="W107" s="5">
        <f xml:space="preserve"> V107 - SUM(Lapse_data!DF107:DQ107, Death_data!V107)</f>
        <v>73</v>
      </c>
    </row>
    <row r="108" spans="1:23" x14ac:dyDescent="0.35">
      <c r="A108" s="1">
        <f t="shared" si="1"/>
        <v>45231</v>
      </c>
      <c r="B108" s="5">
        <f>Inception_data!B108</f>
        <v>227</v>
      </c>
      <c r="C108" s="5">
        <f>B108-SUM(Lapse_data!B108,Death_data!B108)</f>
        <v>171</v>
      </c>
      <c r="D108" s="5">
        <f>C108-SUM(Lapse_data!C108,Death_data!C108)</f>
        <v>144</v>
      </c>
      <c r="E108" s="5">
        <f>D108-SUM(Lapse_data!D108,Death_data!D108)</f>
        <v>132</v>
      </c>
      <c r="F108" s="5">
        <f>E108-SUM(Lapse_data!E108,Death_data!E108)</f>
        <v>121</v>
      </c>
      <c r="G108" s="5">
        <f>F108-SUM(Lapse_data!F108,Death_data!F108)</f>
        <v>113</v>
      </c>
      <c r="H108" s="5">
        <f>G108-SUM(Lapse_data!G108,Death_data!G108)</f>
        <v>104</v>
      </c>
      <c r="I108" s="5">
        <f>H108-SUM(Lapse_data!H108,Death_data!H108)</f>
        <v>93</v>
      </c>
      <c r="J108" s="5">
        <f>I108-SUM(Lapse_data!I108,Death_data!I108)</f>
        <v>88</v>
      </c>
      <c r="K108" s="5">
        <f>J108-SUM(Lapse_data!J108,Death_data!J108)</f>
        <v>83</v>
      </c>
      <c r="L108" s="5">
        <f>K108-SUM(Lapse_data!K108,Death_data!K108)</f>
        <v>81</v>
      </c>
      <c r="M108" s="5">
        <f>L108-SUM(Lapse_data!L108,Death_data!L108)</f>
        <v>81</v>
      </c>
      <c r="N108" s="5">
        <f>M108-SUM(Lapse_data!M108,Death_data!M108)</f>
        <v>77</v>
      </c>
      <c r="O108" s="5">
        <f xml:space="preserve"> N108 - SUM(Lapse_data!N108:Y108, Death_data!N108)</f>
        <v>73</v>
      </c>
      <c r="P108" s="5">
        <f xml:space="preserve"> O108 - SUM(Lapse_data!Z108:AK108, Death_data!O108)</f>
        <v>73</v>
      </c>
      <c r="Q108" s="5">
        <f xml:space="preserve"> P108 - SUM(Lapse_data!AL108:AW108, Death_data!P108)</f>
        <v>73</v>
      </c>
      <c r="R108" s="5">
        <f xml:space="preserve"> Q108 - SUM(Lapse_data!AX108:BI108, Death_data!Q108)</f>
        <v>73</v>
      </c>
      <c r="S108" s="5">
        <f xml:space="preserve"> R108 - SUM(Lapse_data!BJ108:BU108, Death_data!R108)</f>
        <v>73</v>
      </c>
      <c r="T108" s="5">
        <f xml:space="preserve"> S108 - SUM(Lapse_data!BV108:CG108, Death_data!S108)</f>
        <v>73</v>
      </c>
      <c r="U108" s="5">
        <f xml:space="preserve"> T108 - SUM(Lapse_data!CH108:CS108, Death_data!T108)</f>
        <v>73</v>
      </c>
      <c r="V108" s="5">
        <f xml:space="preserve"> U108 - SUM(Lapse_data!CT108:DE108, Death_data!U108)</f>
        <v>73</v>
      </c>
      <c r="W108" s="5">
        <f xml:space="preserve"> V108 - SUM(Lapse_data!DF108:DQ108, Death_data!V108)</f>
        <v>73</v>
      </c>
    </row>
    <row r="109" spans="1:23" x14ac:dyDescent="0.35">
      <c r="A109" s="1">
        <f t="shared" si="1"/>
        <v>45261</v>
      </c>
      <c r="B109" s="5">
        <f>Inception_data!B109</f>
        <v>275</v>
      </c>
      <c r="C109" s="5">
        <f>B109-SUM(Lapse_data!B109,Death_data!B109)</f>
        <v>234</v>
      </c>
      <c r="D109" s="5">
        <f>C109-SUM(Lapse_data!C109,Death_data!C109)</f>
        <v>211</v>
      </c>
      <c r="E109" s="5">
        <f>D109-SUM(Lapse_data!D109,Death_data!D109)</f>
        <v>180</v>
      </c>
      <c r="F109" s="5">
        <f>E109-SUM(Lapse_data!E109,Death_data!E109)</f>
        <v>163</v>
      </c>
      <c r="G109" s="5">
        <f>F109-SUM(Lapse_data!F109,Death_data!F109)</f>
        <v>154</v>
      </c>
      <c r="H109" s="5">
        <f>G109-SUM(Lapse_data!G109,Death_data!G109)</f>
        <v>147</v>
      </c>
      <c r="I109" s="5">
        <f>H109-SUM(Lapse_data!H109,Death_data!H109)</f>
        <v>145</v>
      </c>
      <c r="J109" s="5">
        <f>I109-SUM(Lapse_data!I109,Death_data!I109)</f>
        <v>140</v>
      </c>
      <c r="K109" s="5">
        <f>J109-SUM(Lapse_data!J109,Death_data!J109)</f>
        <v>134</v>
      </c>
      <c r="L109" s="5">
        <f>K109-SUM(Lapse_data!K109,Death_data!K109)</f>
        <v>130</v>
      </c>
      <c r="M109" s="5">
        <f>L109-SUM(Lapse_data!L109,Death_data!L109)</f>
        <v>125</v>
      </c>
      <c r="N109" s="5">
        <f>M109-SUM(Lapse_data!M109,Death_data!M109)</f>
        <v>124</v>
      </c>
      <c r="O109" s="5">
        <f xml:space="preserve"> N109 - SUM(Lapse_data!N109:Y109, Death_data!N109)</f>
        <v>122</v>
      </c>
      <c r="P109" s="5">
        <f xml:space="preserve"> O109 - SUM(Lapse_data!Z109:AK109, Death_data!O109)</f>
        <v>122</v>
      </c>
      <c r="Q109" s="5">
        <f xml:space="preserve"> P109 - SUM(Lapse_data!AL109:AW109, Death_data!P109)</f>
        <v>122</v>
      </c>
      <c r="R109" s="5">
        <f xml:space="preserve"> Q109 - SUM(Lapse_data!AX109:BI109, Death_data!Q109)</f>
        <v>122</v>
      </c>
      <c r="S109" s="5">
        <f xml:space="preserve"> R109 - SUM(Lapse_data!BJ109:BU109, Death_data!R109)</f>
        <v>122</v>
      </c>
      <c r="T109" s="5">
        <f xml:space="preserve"> S109 - SUM(Lapse_data!BV109:CG109, Death_data!S109)</f>
        <v>122</v>
      </c>
      <c r="U109" s="5">
        <f xml:space="preserve"> T109 - SUM(Lapse_data!CH109:CS109, Death_data!T109)</f>
        <v>122</v>
      </c>
      <c r="V109" s="5">
        <f xml:space="preserve"> U109 - SUM(Lapse_data!CT109:DE109, Death_data!U109)</f>
        <v>122</v>
      </c>
      <c r="W109" s="5">
        <f xml:space="preserve"> V109 - SUM(Lapse_data!DF109:DQ109, Death_data!V109)</f>
        <v>122</v>
      </c>
    </row>
    <row r="110" spans="1:23" x14ac:dyDescent="0.35">
      <c r="A110" s="4">
        <f t="shared" si="1"/>
        <v>45292</v>
      </c>
      <c r="B110" s="5">
        <f>Inception_data!B110</f>
        <v>283</v>
      </c>
      <c r="C110" s="5">
        <f>B110-SUM(Lapse_data!B110,Death_data!B110)</f>
        <v>249</v>
      </c>
      <c r="D110" s="5">
        <f>C110-SUM(Lapse_data!C110,Death_data!C110)</f>
        <v>231</v>
      </c>
      <c r="E110" s="5">
        <f>D110-SUM(Lapse_data!D110,Death_data!D110)</f>
        <v>205</v>
      </c>
      <c r="F110" s="5">
        <f>E110-SUM(Lapse_data!E110,Death_data!E110)</f>
        <v>194</v>
      </c>
      <c r="G110" s="5">
        <f>F110-SUM(Lapse_data!F110,Death_data!F110)</f>
        <v>185</v>
      </c>
      <c r="H110" s="5">
        <f>G110-SUM(Lapse_data!G110,Death_data!G110)</f>
        <v>176</v>
      </c>
      <c r="I110" s="5">
        <f>H110-SUM(Lapse_data!H110,Death_data!H110)</f>
        <v>167</v>
      </c>
      <c r="J110" s="5">
        <f>I110-SUM(Lapse_data!I110,Death_data!I110)</f>
        <v>163</v>
      </c>
      <c r="K110" s="5">
        <f>J110-SUM(Lapse_data!J110,Death_data!J110)</f>
        <v>161</v>
      </c>
      <c r="L110" s="5">
        <f>K110-SUM(Lapse_data!K110,Death_data!K110)</f>
        <v>160</v>
      </c>
      <c r="M110" s="5">
        <f>L110-SUM(Lapse_data!L110,Death_data!L110)</f>
        <v>159</v>
      </c>
      <c r="N110" s="5">
        <f>M110-SUM(Lapse_data!M110,Death_data!M110)</f>
        <v>158</v>
      </c>
      <c r="O110" s="5">
        <f xml:space="preserve"> N110 - SUM(Lapse_data!N110:Y110, Death_data!N110)</f>
        <v>158</v>
      </c>
      <c r="P110" s="5">
        <f xml:space="preserve"> O110 - SUM(Lapse_data!Z110:AK110, Death_data!O110)</f>
        <v>158</v>
      </c>
      <c r="Q110" s="5">
        <f xml:space="preserve"> P110 - SUM(Lapse_data!AL110:AW110, Death_data!P110)</f>
        <v>158</v>
      </c>
      <c r="R110" s="5">
        <f xml:space="preserve"> Q110 - SUM(Lapse_data!AX110:BI110, Death_data!Q110)</f>
        <v>158</v>
      </c>
      <c r="S110" s="5">
        <f xml:space="preserve"> R110 - SUM(Lapse_data!BJ110:BU110, Death_data!R110)</f>
        <v>158</v>
      </c>
      <c r="T110" s="5">
        <f xml:space="preserve"> S110 - SUM(Lapse_data!BV110:CG110, Death_data!S110)</f>
        <v>158</v>
      </c>
      <c r="U110" s="5">
        <f xml:space="preserve"> T110 - SUM(Lapse_data!CH110:CS110, Death_data!T110)</f>
        <v>158</v>
      </c>
      <c r="V110" s="5">
        <f xml:space="preserve"> U110 - SUM(Lapse_data!CT110:DE110, Death_data!U110)</f>
        <v>158</v>
      </c>
      <c r="W110" s="5">
        <f xml:space="preserve"> V110 - SUM(Lapse_data!DF110:DQ110, Death_data!V110)</f>
        <v>158</v>
      </c>
    </row>
    <row r="111" spans="1:23" x14ac:dyDescent="0.35">
      <c r="A111" s="1">
        <f t="shared" si="1"/>
        <v>45323</v>
      </c>
      <c r="B111" s="5">
        <f>Inception_data!B111</f>
        <v>192</v>
      </c>
      <c r="C111" s="5">
        <f>B111-SUM(Lapse_data!B111,Death_data!B111)</f>
        <v>155</v>
      </c>
      <c r="D111" s="5">
        <f>C111-SUM(Lapse_data!C111,Death_data!C111)</f>
        <v>139</v>
      </c>
      <c r="E111" s="5">
        <f>D111-SUM(Lapse_data!D111,Death_data!D111)</f>
        <v>118</v>
      </c>
      <c r="F111" s="5">
        <f>E111-SUM(Lapse_data!E111,Death_data!E111)</f>
        <v>112</v>
      </c>
      <c r="G111" s="5">
        <f>F111-SUM(Lapse_data!F111,Death_data!F111)</f>
        <v>105</v>
      </c>
      <c r="H111" s="5">
        <f>G111-SUM(Lapse_data!G111,Death_data!G111)</f>
        <v>102</v>
      </c>
      <c r="I111" s="5">
        <f>H111-SUM(Lapse_data!H111,Death_data!H111)</f>
        <v>101</v>
      </c>
      <c r="J111" s="5">
        <f>I111-SUM(Lapse_data!I111,Death_data!I111)</f>
        <v>101</v>
      </c>
      <c r="K111" s="5">
        <f>J111-SUM(Lapse_data!J111,Death_data!J111)</f>
        <v>100</v>
      </c>
      <c r="L111" s="5">
        <f>K111-SUM(Lapse_data!K111,Death_data!K111)</f>
        <v>98</v>
      </c>
      <c r="M111" s="5">
        <f>L111-SUM(Lapse_data!L111,Death_data!L111)</f>
        <v>95</v>
      </c>
      <c r="N111" s="5">
        <f>M111-SUM(Lapse_data!M111,Death_data!M111)</f>
        <v>95</v>
      </c>
      <c r="O111" s="5">
        <f xml:space="preserve"> N111 - SUM(Lapse_data!N111:Y111, Death_data!N111)</f>
        <v>95</v>
      </c>
      <c r="P111" s="5">
        <f xml:space="preserve"> O111 - SUM(Lapse_data!Z111:AK111, Death_data!O111)</f>
        <v>95</v>
      </c>
      <c r="Q111" s="5">
        <f xml:space="preserve"> P111 - SUM(Lapse_data!AL111:AW111, Death_data!P111)</f>
        <v>95</v>
      </c>
      <c r="R111" s="5">
        <f xml:space="preserve"> Q111 - SUM(Lapse_data!AX111:BI111, Death_data!Q111)</f>
        <v>95</v>
      </c>
      <c r="S111" s="5">
        <f xml:space="preserve"> R111 - SUM(Lapse_data!BJ111:BU111, Death_data!R111)</f>
        <v>95</v>
      </c>
      <c r="T111" s="5">
        <f xml:space="preserve"> S111 - SUM(Lapse_data!BV111:CG111, Death_data!S111)</f>
        <v>95</v>
      </c>
      <c r="U111" s="5">
        <f xml:space="preserve"> T111 - SUM(Lapse_data!CH111:CS111, Death_data!T111)</f>
        <v>95</v>
      </c>
      <c r="V111" s="5">
        <f xml:space="preserve"> U111 - SUM(Lapse_data!CT111:DE111, Death_data!U111)</f>
        <v>95</v>
      </c>
      <c r="W111" s="5">
        <f xml:space="preserve"> V111 - SUM(Lapse_data!DF111:DQ111, Death_data!V111)</f>
        <v>95</v>
      </c>
    </row>
    <row r="112" spans="1:23" x14ac:dyDescent="0.35">
      <c r="A112" s="1">
        <f t="shared" si="1"/>
        <v>45352</v>
      </c>
      <c r="B112" s="5">
        <f>Inception_data!B112</f>
        <v>167</v>
      </c>
      <c r="C112" s="5">
        <f>B112-SUM(Lapse_data!B112,Death_data!B112)</f>
        <v>135</v>
      </c>
      <c r="D112" s="5">
        <f>C112-SUM(Lapse_data!C112,Death_data!C112)</f>
        <v>126</v>
      </c>
      <c r="E112" s="5">
        <f>D112-SUM(Lapse_data!D112,Death_data!D112)</f>
        <v>118</v>
      </c>
      <c r="F112" s="5">
        <f>E112-SUM(Lapse_data!E112,Death_data!E112)</f>
        <v>109</v>
      </c>
      <c r="G112" s="5">
        <f>F112-SUM(Lapse_data!F112,Death_data!F112)</f>
        <v>103</v>
      </c>
      <c r="H112" s="5">
        <f>G112-SUM(Lapse_data!G112,Death_data!G112)</f>
        <v>99</v>
      </c>
      <c r="I112" s="5">
        <f>H112-SUM(Lapse_data!H112,Death_data!H112)</f>
        <v>97</v>
      </c>
      <c r="J112" s="5">
        <f>I112-SUM(Lapse_data!I112,Death_data!I112)</f>
        <v>93</v>
      </c>
      <c r="K112" s="5">
        <f>J112-SUM(Lapse_data!J112,Death_data!J112)</f>
        <v>93</v>
      </c>
      <c r="L112" s="5">
        <f>K112-SUM(Lapse_data!K112,Death_data!K112)</f>
        <v>92</v>
      </c>
      <c r="M112" s="5">
        <f>L112-SUM(Lapse_data!L112,Death_data!L112)</f>
        <v>92</v>
      </c>
      <c r="N112" s="5">
        <f>M112-SUM(Lapse_data!M112,Death_data!M112)</f>
        <v>92</v>
      </c>
      <c r="O112" s="5">
        <f xml:space="preserve"> N112 - SUM(Lapse_data!N112:Y112, Death_data!N112)</f>
        <v>92</v>
      </c>
      <c r="P112" s="5">
        <f xml:space="preserve"> O112 - SUM(Lapse_data!Z112:AK112, Death_data!O112)</f>
        <v>92</v>
      </c>
      <c r="Q112" s="5">
        <f xml:space="preserve"> P112 - SUM(Lapse_data!AL112:AW112, Death_data!P112)</f>
        <v>92</v>
      </c>
      <c r="R112" s="5">
        <f xml:space="preserve"> Q112 - SUM(Lapse_data!AX112:BI112, Death_data!Q112)</f>
        <v>92</v>
      </c>
      <c r="S112" s="5">
        <f xml:space="preserve"> R112 - SUM(Lapse_data!BJ112:BU112, Death_data!R112)</f>
        <v>92</v>
      </c>
      <c r="T112" s="5">
        <f xml:space="preserve"> S112 - SUM(Lapse_data!BV112:CG112, Death_data!S112)</f>
        <v>92</v>
      </c>
      <c r="U112" s="5">
        <f xml:space="preserve"> T112 - SUM(Lapse_data!CH112:CS112, Death_data!T112)</f>
        <v>92</v>
      </c>
      <c r="V112" s="5">
        <f xml:space="preserve"> U112 - SUM(Lapse_data!CT112:DE112, Death_data!U112)</f>
        <v>92</v>
      </c>
      <c r="W112" s="5">
        <f xml:space="preserve"> V112 - SUM(Lapse_data!DF112:DQ112, Death_data!V112)</f>
        <v>92</v>
      </c>
    </row>
    <row r="113" spans="1:23" x14ac:dyDescent="0.35">
      <c r="A113" s="1">
        <f t="shared" si="1"/>
        <v>45383</v>
      </c>
      <c r="B113" s="5">
        <f>Inception_data!B113</f>
        <v>204</v>
      </c>
      <c r="C113" s="5">
        <f>B113-SUM(Lapse_data!B113,Death_data!B113)</f>
        <v>175</v>
      </c>
      <c r="D113" s="5">
        <f>C113-SUM(Lapse_data!C113,Death_data!C113)</f>
        <v>165</v>
      </c>
      <c r="E113" s="5">
        <f>D113-SUM(Lapse_data!D113,Death_data!D113)</f>
        <v>155</v>
      </c>
      <c r="F113" s="5">
        <f>E113-SUM(Lapse_data!E113,Death_data!E113)</f>
        <v>145</v>
      </c>
      <c r="G113" s="5">
        <f>F113-SUM(Lapse_data!F113,Death_data!F113)</f>
        <v>141</v>
      </c>
      <c r="H113" s="5">
        <f>G113-SUM(Lapse_data!G113,Death_data!G113)</f>
        <v>136</v>
      </c>
      <c r="I113" s="5">
        <f>H113-SUM(Lapse_data!H113,Death_data!H113)</f>
        <v>131</v>
      </c>
      <c r="J113" s="5">
        <f>I113-SUM(Lapse_data!I113,Death_data!I113)</f>
        <v>128</v>
      </c>
      <c r="K113" s="5">
        <f>J113-SUM(Lapse_data!J113,Death_data!J113)</f>
        <v>128</v>
      </c>
      <c r="L113" s="5">
        <f>K113-SUM(Lapse_data!K113,Death_data!K113)</f>
        <v>128</v>
      </c>
      <c r="M113" s="5">
        <f>L113-SUM(Lapse_data!L113,Death_data!L113)</f>
        <v>128</v>
      </c>
      <c r="N113" s="5">
        <f>M113-SUM(Lapse_data!M113,Death_data!M113)</f>
        <v>128</v>
      </c>
      <c r="O113" s="5">
        <f xml:space="preserve"> N113 - SUM(Lapse_data!N113:Y113, Death_data!N113)</f>
        <v>128</v>
      </c>
      <c r="P113" s="5">
        <f xml:space="preserve"> O113 - SUM(Lapse_data!Z113:AK113, Death_data!O113)</f>
        <v>128</v>
      </c>
      <c r="Q113" s="5">
        <f xml:space="preserve"> P113 - SUM(Lapse_data!AL113:AW113, Death_data!P113)</f>
        <v>128</v>
      </c>
      <c r="R113" s="5">
        <f xml:space="preserve"> Q113 - SUM(Lapse_data!AX113:BI113, Death_data!Q113)</f>
        <v>128</v>
      </c>
      <c r="S113" s="5">
        <f xml:space="preserve"> R113 - SUM(Lapse_data!BJ113:BU113, Death_data!R113)</f>
        <v>128</v>
      </c>
      <c r="T113" s="5">
        <f xml:space="preserve"> S113 - SUM(Lapse_data!BV113:CG113, Death_data!S113)</f>
        <v>128</v>
      </c>
      <c r="U113" s="5">
        <f xml:space="preserve"> T113 - SUM(Lapse_data!CH113:CS113, Death_data!T113)</f>
        <v>128</v>
      </c>
      <c r="V113" s="5">
        <f xml:space="preserve"> U113 - SUM(Lapse_data!CT113:DE113, Death_data!U113)</f>
        <v>128</v>
      </c>
      <c r="W113" s="5">
        <f xml:space="preserve"> V113 - SUM(Lapse_data!DF113:DQ113, Death_data!V113)</f>
        <v>128</v>
      </c>
    </row>
    <row r="114" spans="1:23" x14ac:dyDescent="0.35">
      <c r="A114" s="1">
        <f t="shared" si="1"/>
        <v>45413</v>
      </c>
      <c r="B114" s="5">
        <f>Inception_data!B114</f>
        <v>176</v>
      </c>
      <c r="C114" s="5">
        <f>B114-SUM(Lapse_data!B114,Death_data!B114)</f>
        <v>157</v>
      </c>
      <c r="D114" s="5">
        <f>C114-SUM(Lapse_data!C114,Death_data!C114)</f>
        <v>147</v>
      </c>
      <c r="E114" s="5">
        <f>D114-SUM(Lapse_data!D114,Death_data!D114)</f>
        <v>138</v>
      </c>
      <c r="F114" s="5">
        <f>E114-SUM(Lapse_data!E114,Death_data!E114)</f>
        <v>132</v>
      </c>
      <c r="G114" s="5">
        <f>F114-SUM(Lapse_data!F114,Death_data!F114)</f>
        <v>123</v>
      </c>
      <c r="H114" s="5">
        <f>G114-SUM(Lapse_data!G114,Death_data!G114)</f>
        <v>115</v>
      </c>
      <c r="I114" s="5">
        <f>H114-SUM(Lapse_data!H114,Death_data!H114)</f>
        <v>114</v>
      </c>
      <c r="J114" s="5">
        <f>I114-SUM(Lapse_data!I114,Death_data!I114)</f>
        <v>112</v>
      </c>
      <c r="K114" s="5">
        <f>J114-SUM(Lapse_data!J114,Death_data!J114)</f>
        <v>112</v>
      </c>
      <c r="L114" s="5">
        <f>K114-SUM(Lapse_data!K114,Death_data!K114)</f>
        <v>112</v>
      </c>
      <c r="M114" s="5">
        <f>L114-SUM(Lapse_data!L114,Death_data!L114)</f>
        <v>112</v>
      </c>
      <c r="N114" s="5">
        <f>M114-SUM(Lapse_data!M114,Death_data!M114)</f>
        <v>112</v>
      </c>
      <c r="O114" s="5">
        <f xml:space="preserve"> N114 - SUM(Lapse_data!N114:Y114, Death_data!N114)</f>
        <v>112</v>
      </c>
      <c r="P114" s="5">
        <f xml:space="preserve"> O114 - SUM(Lapse_data!Z114:AK114, Death_data!O114)</f>
        <v>112</v>
      </c>
      <c r="Q114" s="5">
        <f xml:space="preserve"> P114 - SUM(Lapse_data!AL114:AW114, Death_data!P114)</f>
        <v>112</v>
      </c>
      <c r="R114" s="5">
        <f xml:space="preserve"> Q114 - SUM(Lapse_data!AX114:BI114, Death_data!Q114)</f>
        <v>112</v>
      </c>
      <c r="S114" s="5">
        <f xml:space="preserve"> R114 - SUM(Lapse_data!BJ114:BU114, Death_data!R114)</f>
        <v>112</v>
      </c>
      <c r="T114" s="5">
        <f xml:space="preserve"> S114 - SUM(Lapse_data!BV114:CG114, Death_data!S114)</f>
        <v>112</v>
      </c>
      <c r="U114" s="5">
        <f xml:space="preserve"> T114 - SUM(Lapse_data!CH114:CS114, Death_data!T114)</f>
        <v>112</v>
      </c>
      <c r="V114" s="5">
        <f xml:space="preserve"> U114 - SUM(Lapse_data!CT114:DE114, Death_data!U114)</f>
        <v>112</v>
      </c>
      <c r="W114" s="5">
        <f xml:space="preserve"> V114 - SUM(Lapse_data!DF114:DQ114, Death_data!V114)</f>
        <v>112</v>
      </c>
    </row>
    <row r="115" spans="1:23" x14ac:dyDescent="0.35">
      <c r="A115" s="1">
        <f t="shared" si="1"/>
        <v>45444</v>
      </c>
      <c r="B115" s="5">
        <f>Inception_data!B115</f>
        <v>155</v>
      </c>
      <c r="C115" s="5">
        <f>B115-SUM(Lapse_data!B115,Death_data!B115)</f>
        <v>132</v>
      </c>
      <c r="D115" s="5">
        <f>C115-SUM(Lapse_data!C115,Death_data!C115)</f>
        <v>126</v>
      </c>
      <c r="E115" s="5">
        <f>D115-SUM(Lapse_data!D115,Death_data!D115)</f>
        <v>118</v>
      </c>
      <c r="F115" s="5">
        <f>E115-SUM(Lapse_data!E115,Death_data!E115)</f>
        <v>114</v>
      </c>
      <c r="G115" s="5">
        <f>F115-SUM(Lapse_data!F115,Death_data!F115)</f>
        <v>107</v>
      </c>
      <c r="H115" s="5">
        <f>G115-SUM(Lapse_data!G115,Death_data!G115)</f>
        <v>105</v>
      </c>
      <c r="I115" s="5">
        <f>H115-SUM(Lapse_data!H115,Death_data!H115)</f>
        <v>104</v>
      </c>
      <c r="J115" s="5">
        <f>I115-SUM(Lapse_data!I115,Death_data!I115)</f>
        <v>104</v>
      </c>
      <c r="K115" s="5">
        <f>J115-SUM(Lapse_data!J115,Death_data!J115)</f>
        <v>104</v>
      </c>
      <c r="L115" s="5">
        <f>K115-SUM(Lapse_data!K115,Death_data!K115)</f>
        <v>104</v>
      </c>
      <c r="M115" s="5">
        <f>L115-SUM(Lapse_data!L115,Death_data!L115)</f>
        <v>104</v>
      </c>
      <c r="N115" s="5">
        <f>M115-SUM(Lapse_data!M115,Death_data!M115)</f>
        <v>104</v>
      </c>
      <c r="O115" s="5">
        <f xml:space="preserve"> N115 - SUM(Lapse_data!N115:Y115, Death_data!N115)</f>
        <v>104</v>
      </c>
      <c r="P115" s="5">
        <f xml:space="preserve"> O115 - SUM(Lapse_data!Z115:AK115, Death_data!O115)</f>
        <v>104</v>
      </c>
      <c r="Q115" s="5">
        <f xml:space="preserve"> P115 - SUM(Lapse_data!AL115:AW115, Death_data!P115)</f>
        <v>104</v>
      </c>
      <c r="R115" s="5">
        <f xml:space="preserve"> Q115 - SUM(Lapse_data!AX115:BI115, Death_data!Q115)</f>
        <v>104</v>
      </c>
      <c r="S115" s="5">
        <f xml:space="preserve"> R115 - SUM(Lapse_data!BJ115:BU115, Death_data!R115)</f>
        <v>104</v>
      </c>
      <c r="T115" s="5">
        <f xml:space="preserve"> S115 - SUM(Lapse_data!BV115:CG115, Death_data!S115)</f>
        <v>104</v>
      </c>
      <c r="U115" s="5">
        <f xml:space="preserve"> T115 - SUM(Lapse_data!CH115:CS115, Death_data!T115)</f>
        <v>104</v>
      </c>
      <c r="V115" s="5">
        <f xml:space="preserve"> U115 - SUM(Lapse_data!CT115:DE115, Death_data!U115)</f>
        <v>104</v>
      </c>
      <c r="W115" s="5">
        <f xml:space="preserve"> V115 - SUM(Lapse_data!DF115:DQ115, Death_data!V115)</f>
        <v>104</v>
      </c>
    </row>
    <row r="116" spans="1:23" x14ac:dyDescent="0.35">
      <c r="A116" s="1">
        <f t="shared" si="1"/>
        <v>45474</v>
      </c>
      <c r="B116" s="5">
        <f>Inception_data!B116</f>
        <v>168</v>
      </c>
      <c r="C116" s="5">
        <f>B116-SUM(Lapse_data!B116,Death_data!B116)</f>
        <v>153</v>
      </c>
      <c r="D116" s="5">
        <f>C116-SUM(Lapse_data!C116,Death_data!C116)</f>
        <v>147</v>
      </c>
      <c r="E116" s="5">
        <f>D116-SUM(Lapse_data!D116,Death_data!D116)</f>
        <v>132</v>
      </c>
      <c r="F116" s="5">
        <f>E116-SUM(Lapse_data!E116,Death_data!E116)</f>
        <v>124</v>
      </c>
      <c r="G116" s="5">
        <f>F116-SUM(Lapse_data!F116,Death_data!F116)</f>
        <v>119</v>
      </c>
      <c r="H116" s="5">
        <f>G116-SUM(Lapse_data!G116,Death_data!G116)</f>
        <v>117</v>
      </c>
      <c r="I116" s="5">
        <f>H116-SUM(Lapse_data!H116,Death_data!H116)</f>
        <v>117</v>
      </c>
      <c r="J116" s="5">
        <f>I116-SUM(Lapse_data!I116,Death_data!I116)</f>
        <v>117</v>
      </c>
      <c r="K116" s="5">
        <f>J116-SUM(Lapse_data!J116,Death_data!J116)</f>
        <v>117</v>
      </c>
      <c r="L116" s="5">
        <f>K116-SUM(Lapse_data!K116,Death_data!K116)</f>
        <v>117</v>
      </c>
      <c r="M116" s="5">
        <f>L116-SUM(Lapse_data!L116,Death_data!L116)</f>
        <v>117</v>
      </c>
      <c r="N116" s="5">
        <f>M116-SUM(Lapse_data!M116,Death_data!M116)</f>
        <v>117</v>
      </c>
      <c r="O116" s="5">
        <f xml:space="preserve"> N116 - SUM(Lapse_data!N116:Y116, Death_data!N116)</f>
        <v>117</v>
      </c>
      <c r="P116" s="5">
        <f xml:space="preserve"> O116 - SUM(Lapse_data!Z116:AK116, Death_data!O116)</f>
        <v>117</v>
      </c>
      <c r="Q116" s="5">
        <f xml:space="preserve"> P116 - SUM(Lapse_data!AL116:AW116, Death_data!P116)</f>
        <v>117</v>
      </c>
      <c r="R116" s="5">
        <f xml:space="preserve"> Q116 - SUM(Lapse_data!AX116:BI116, Death_data!Q116)</f>
        <v>117</v>
      </c>
      <c r="S116" s="5">
        <f xml:space="preserve"> R116 - SUM(Lapse_data!BJ116:BU116, Death_data!R116)</f>
        <v>117</v>
      </c>
      <c r="T116" s="5">
        <f xml:space="preserve"> S116 - SUM(Lapse_data!BV116:CG116, Death_data!S116)</f>
        <v>117</v>
      </c>
      <c r="U116" s="5">
        <f xml:space="preserve"> T116 - SUM(Lapse_data!CH116:CS116, Death_data!T116)</f>
        <v>117</v>
      </c>
      <c r="V116" s="5">
        <f xml:space="preserve"> U116 - SUM(Lapse_data!CT116:DE116, Death_data!U116)</f>
        <v>117</v>
      </c>
      <c r="W116" s="5">
        <f xml:space="preserve"> V116 - SUM(Lapse_data!DF116:DQ116, Death_data!V116)</f>
        <v>117</v>
      </c>
    </row>
    <row r="117" spans="1:23" x14ac:dyDescent="0.35">
      <c r="A117" s="1">
        <f t="shared" si="1"/>
        <v>45505</v>
      </c>
      <c r="B117" s="5">
        <f>Inception_data!B117</f>
        <v>94</v>
      </c>
      <c r="C117" s="5">
        <f>B117-SUM(Lapse_data!B117,Death_data!B117)</f>
        <v>89</v>
      </c>
      <c r="D117" s="5">
        <f>C117-SUM(Lapse_data!C117,Death_data!C117)</f>
        <v>87</v>
      </c>
      <c r="E117" s="5">
        <f>D117-SUM(Lapse_data!D117,Death_data!D117)</f>
        <v>83</v>
      </c>
      <c r="F117" s="5">
        <f>E117-SUM(Lapse_data!E117,Death_data!E117)</f>
        <v>81</v>
      </c>
      <c r="G117" s="5">
        <f>F117-SUM(Lapse_data!F117,Death_data!F117)</f>
        <v>80</v>
      </c>
      <c r="H117" s="5">
        <f>G117-SUM(Lapse_data!G117,Death_data!G117)</f>
        <v>80</v>
      </c>
      <c r="I117" s="5">
        <f>H117-SUM(Lapse_data!H117,Death_data!H117)</f>
        <v>80</v>
      </c>
      <c r="J117" s="5">
        <f>I117-SUM(Lapse_data!I117,Death_data!I117)</f>
        <v>80</v>
      </c>
      <c r="K117" s="5">
        <f>J117-SUM(Lapse_data!J117,Death_data!J117)</f>
        <v>80</v>
      </c>
      <c r="L117" s="5">
        <f>K117-SUM(Lapse_data!K117,Death_data!K117)</f>
        <v>80</v>
      </c>
      <c r="M117" s="5">
        <f>L117-SUM(Lapse_data!L117,Death_data!L117)</f>
        <v>80</v>
      </c>
      <c r="N117" s="5">
        <f>M117-SUM(Lapse_data!M117,Death_data!M117)</f>
        <v>80</v>
      </c>
      <c r="O117" s="5">
        <f xml:space="preserve"> N117 - SUM(Lapse_data!N117:Y117, Death_data!N117)</f>
        <v>80</v>
      </c>
      <c r="P117" s="5">
        <f xml:space="preserve"> O117 - SUM(Lapse_data!Z117:AK117, Death_data!O117)</f>
        <v>80</v>
      </c>
      <c r="Q117" s="5">
        <f xml:space="preserve"> P117 - SUM(Lapse_data!AL117:AW117, Death_data!P117)</f>
        <v>80</v>
      </c>
      <c r="R117" s="5">
        <f xml:space="preserve"> Q117 - SUM(Lapse_data!AX117:BI117, Death_data!Q117)</f>
        <v>80</v>
      </c>
      <c r="S117" s="5">
        <f xml:space="preserve"> R117 - SUM(Lapse_data!BJ117:BU117, Death_data!R117)</f>
        <v>80</v>
      </c>
      <c r="T117" s="5">
        <f xml:space="preserve"> S117 - SUM(Lapse_data!BV117:CG117, Death_data!S117)</f>
        <v>80</v>
      </c>
      <c r="U117" s="5">
        <f xml:space="preserve"> T117 - SUM(Lapse_data!CH117:CS117, Death_data!T117)</f>
        <v>80</v>
      </c>
      <c r="V117" s="5">
        <f xml:space="preserve"> U117 - SUM(Lapse_data!CT117:DE117, Death_data!U117)</f>
        <v>80</v>
      </c>
      <c r="W117" s="5">
        <f xml:space="preserve"> V117 - SUM(Lapse_data!DF117:DQ117, Death_data!V117)</f>
        <v>80</v>
      </c>
    </row>
    <row r="118" spans="1:23" x14ac:dyDescent="0.35">
      <c r="A118" s="1">
        <f t="shared" si="1"/>
        <v>45536</v>
      </c>
      <c r="B118" s="5">
        <f>Inception_data!B118</f>
        <v>72</v>
      </c>
      <c r="C118" s="5">
        <f>B118-SUM(Lapse_data!B118,Death_data!B118)</f>
        <v>68</v>
      </c>
      <c r="D118" s="5">
        <f>C118-SUM(Lapse_data!C118,Death_data!C118)</f>
        <v>66</v>
      </c>
      <c r="E118" s="5">
        <f>D118-SUM(Lapse_data!D118,Death_data!D118)</f>
        <v>65</v>
      </c>
      <c r="F118" s="5">
        <f>E118-SUM(Lapse_data!E118,Death_data!E118)</f>
        <v>64</v>
      </c>
      <c r="G118" s="5">
        <f>F118-SUM(Lapse_data!F118,Death_data!F118)</f>
        <v>64</v>
      </c>
      <c r="H118" s="5">
        <f>G118-SUM(Lapse_data!G118,Death_data!G118)</f>
        <v>64</v>
      </c>
      <c r="I118" s="5">
        <f>H118-SUM(Lapse_data!H118,Death_data!H118)</f>
        <v>64</v>
      </c>
      <c r="J118" s="5">
        <f>I118-SUM(Lapse_data!I118,Death_data!I118)</f>
        <v>64</v>
      </c>
      <c r="K118" s="5">
        <f>J118-SUM(Lapse_data!J118,Death_data!J118)</f>
        <v>64</v>
      </c>
      <c r="L118" s="5">
        <f>K118-SUM(Lapse_data!K118,Death_data!K118)</f>
        <v>64</v>
      </c>
      <c r="M118" s="5">
        <f>L118-SUM(Lapse_data!L118,Death_data!L118)</f>
        <v>64</v>
      </c>
      <c r="N118" s="5">
        <f>M118-SUM(Lapse_data!M118,Death_data!M118)</f>
        <v>64</v>
      </c>
      <c r="O118" s="5">
        <f xml:space="preserve"> N118 - SUM(Lapse_data!N118:Y118, Death_data!N118)</f>
        <v>64</v>
      </c>
      <c r="P118" s="5">
        <f xml:space="preserve"> O118 - SUM(Lapse_data!Z118:AK118, Death_data!O118)</f>
        <v>64</v>
      </c>
      <c r="Q118" s="5">
        <f xml:space="preserve"> P118 - SUM(Lapse_data!AL118:AW118, Death_data!P118)</f>
        <v>64</v>
      </c>
      <c r="R118" s="5">
        <f xml:space="preserve"> Q118 - SUM(Lapse_data!AX118:BI118, Death_data!Q118)</f>
        <v>64</v>
      </c>
      <c r="S118" s="5">
        <f xml:space="preserve"> R118 - SUM(Lapse_data!BJ118:BU118, Death_data!R118)</f>
        <v>64</v>
      </c>
      <c r="T118" s="5">
        <f xml:space="preserve"> S118 - SUM(Lapse_data!BV118:CG118, Death_data!S118)</f>
        <v>64</v>
      </c>
      <c r="U118" s="5">
        <f xml:space="preserve"> T118 - SUM(Lapse_data!CH118:CS118, Death_data!T118)</f>
        <v>64</v>
      </c>
      <c r="V118" s="5">
        <f xml:space="preserve"> U118 - SUM(Lapse_data!CT118:DE118, Death_data!U118)</f>
        <v>64</v>
      </c>
      <c r="W118" s="5">
        <f xml:space="preserve"> V118 - SUM(Lapse_data!DF118:DQ118, Death_data!V118)</f>
        <v>64</v>
      </c>
    </row>
    <row r="119" spans="1:23" x14ac:dyDescent="0.35">
      <c r="A119" s="1">
        <f t="shared" si="1"/>
        <v>45566</v>
      </c>
      <c r="B119" s="5">
        <f>Inception_data!B119</f>
        <v>157</v>
      </c>
      <c r="C119" s="5">
        <f>B119-SUM(Lapse_data!B119,Death_data!B119)</f>
        <v>154</v>
      </c>
      <c r="D119" s="5">
        <f>C119-SUM(Lapse_data!C119,Death_data!C119)</f>
        <v>150</v>
      </c>
      <c r="E119" s="5">
        <f>D119-SUM(Lapse_data!D119,Death_data!D119)</f>
        <v>148</v>
      </c>
      <c r="F119" s="5">
        <f>E119-SUM(Lapse_data!E119,Death_data!E119)</f>
        <v>148</v>
      </c>
      <c r="G119" s="5">
        <f>F119-SUM(Lapse_data!F119,Death_data!F119)</f>
        <v>148</v>
      </c>
      <c r="H119" s="5">
        <f>G119-SUM(Lapse_data!G119,Death_data!G119)</f>
        <v>148</v>
      </c>
      <c r="I119" s="5">
        <f>H119-SUM(Lapse_data!H119,Death_data!H119)</f>
        <v>148</v>
      </c>
      <c r="J119" s="5">
        <f>I119-SUM(Lapse_data!I119,Death_data!I119)</f>
        <v>148</v>
      </c>
      <c r="K119" s="5">
        <f>J119-SUM(Lapse_data!J119,Death_data!J119)</f>
        <v>148</v>
      </c>
      <c r="L119" s="5">
        <f>K119-SUM(Lapse_data!K119,Death_data!K119)</f>
        <v>148</v>
      </c>
      <c r="M119" s="5">
        <f>L119-SUM(Lapse_data!L119,Death_data!L119)</f>
        <v>148</v>
      </c>
      <c r="N119" s="5">
        <f>M119-SUM(Lapse_data!M119,Death_data!M119)</f>
        <v>148</v>
      </c>
      <c r="O119" s="5">
        <f xml:space="preserve"> N119 - SUM(Lapse_data!N119:Y119, Death_data!N119)</f>
        <v>148</v>
      </c>
      <c r="P119" s="5">
        <f xml:space="preserve"> O119 - SUM(Lapse_data!Z119:AK119, Death_data!O119)</f>
        <v>148</v>
      </c>
      <c r="Q119" s="5">
        <f xml:space="preserve"> P119 - SUM(Lapse_data!AL119:AW119, Death_data!P119)</f>
        <v>148</v>
      </c>
      <c r="R119" s="5">
        <f xml:space="preserve"> Q119 - SUM(Lapse_data!AX119:BI119, Death_data!Q119)</f>
        <v>148</v>
      </c>
      <c r="S119" s="5">
        <f xml:space="preserve"> R119 - SUM(Lapse_data!BJ119:BU119, Death_data!R119)</f>
        <v>148</v>
      </c>
      <c r="T119" s="5">
        <f xml:space="preserve"> S119 - SUM(Lapse_data!BV119:CG119, Death_data!S119)</f>
        <v>148</v>
      </c>
      <c r="U119" s="5">
        <f xml:space="preserve"> T119 - SUM(Lapse_data!CH119:CS119, Death_data!T119)</f>
        <v>148</v>
      </c>
      <c r="V119" s="5">
        <f xml:space="preserve"> U119 - SUM(Lapse_data!CT119:DE119, Death_data!U119)</f>
        <v>148</v>
      </c>
      <c r="W119" s="5">
        <f xml:space="preserve"> V119 - SUM(Lapse_data!DF119:DQ119, Death_data!V119)</f>
        <v>148</v>
      </c>
    </row>
    <row r="120" spans="1:23" x14ac:dyDescent="0.35">
      <c r="A120" s="1">
        <f t="shared" si="1"/>
        <v>45597</v>
      </c>
      <c r="B120" s="5">
        <f>Inception_data!B120</f>
        <v>129</v>
      </c>
      <c r="C120" s="5">
        <f>B120-SUM(Lapse_data!B120,Death_data!B120)</f>
        <v>123</v>
      </c>
      <c r="D120" s="5">
        <f>C120-SUM(Lapse_data!C120,Death_data!C120)</f>
        <v>119</v>
      </c>
      <c r="E120" s="5">
        <f>D120-SUM(Lapse_data!D120,Death_data!D120)</f>
        <v>119</v>
      </c>
      <c r="F120" s="5">
        <f>E120-SUM(Lapse_data!E120,Death_data!E120)</f>
        <v>119</v>
      </c>
      <c r="G120" s="5">
        <f>F120-SUM(Lapse_data!F120,Death_data!F120)</f>
        <v>119</v>
      </c>
      <c r="H120" s="5">
        <f>G120-SUM(Lapse_data!G120,Death_data!G120)</f>
        <v>119</v>
      </c>
      <c r="I120" s="5">
        <f>H120-SUM(Lapse_data!H120,Death_data!H120)</f>
        <v>119</v>
      </c>
      <c r="J120" s="5">
        <f>I120-SUM(Lapse_data!I120,Death_data!I120)</f>
        <v>119</v>
      </c>
      <c r="K120" s="5">
        <f>J120-SUM(Lapse_data!J120,Death_data!J120)</f>
        <v>119</v>
      </c>
      <c r="L120" s="5">
        <f>K120-SUM(Lapse_data!K120,Death_data!K120)</f>
        <v>119</v>
      </c>
      <c r="M120" s="5">
        <f>L120-SUM(Lapse_data!L120,Death_data!L120)</f>
        <v>119</v>
      </c>
      <c r="N120" s="5">
        <f>M120-SUM(Lapse_data!M120,Death_data!M120)</f>
        <v>119</v>
      </c>
      <c r="O120" s="5">
        <f xml:space="preserve"> N120 - SUM(Lapse_data!N120:Y120, Death_data!N120)</f>
        <v>119</v>
      </c>
      <c r="P120" s="5">
        <f xml:space="preserve"> O120 - SUM(Lapse_data!Z120:AK120, Death_data!O120)</f>
        <v>119</v>
      </c>
      <c r="Q120" s="5">
        <f xml:space="preserve"> P120 - SUM(Lapse_data!AL120:AW120, Death_data!P120)</f>
        <v>119</v>
      </c>
      <c r="R120" s="5">
        <f xml:space="preserve"> Q120 - SUM(Lapse_data!AX120:BI120, Death_data!Q120)</f>
        <v>119</v>
      </c>
      <c r="S120" s="5">
        <f xml:space="preserve"> R120 - SUM(Lapse_data!BJ120:BU120, Death_data!R120)</f>
        <v>119</v>
      </c>
      <c r="T120" s="5">
        <f xml:space="preserve"> S120 - SUM(Lapse_data!BV120:CG120, Death_data!S120)</f>
        <v>119</v>
      </c>
      <c r="U120" s="5">
        <f xml:space="preserve"> T120 - SUM(Lapse_data!CH120:CS120, Death_data!T120)</f>
        <v>119</v>
      </c>
      <c r="V120" s="5">
        <f xml:space="preserve"> U120 - SUM(Lapse_data!CT120:DE120, Death_data!U120)</f>
        <v>119</v>
      </c>
      <c r="W120" s="5">
        <f xml:space="preserve"> V120 - SUM(Lapse_data!DF120:DQ120, Death_data!V120)</f>
        <v>119</v>
      </c>
    </row>
    <row r="121" spans="1:23" x14ac:dyDescent="0.35">
      <c r="A121" s="1">
        <f t="shared" si="1"/>
        <v>45627</v>
      </c>
      <c r="B121" s="5">
        <f>Inception_data!B121</f>
        <v>134</v>
      </c>
      <c r="C121" s="5">
        <f>B121-SUM(Lapse_data!B121,Death_data!B121)</f>
        <v>129</v>
      </c>
      <c r="D121" s="5">
        <f>C121-SUM(Lapse_data!C121,Death_data!C121)</f>
        <v>129</v>
      </c>
      <c r="E121" s="5">
        <f>D121-SUM(Lapse_data!D121,Death_data!D121)</f>
        <v>129</v>
      </c>
      <c r="F121" s="5">
        <f>E121-SUM(Lapse_data!E121,Death_data!E121)</f>
        <v>129</v>
      </c>
      <c r="G121" s="5">
        <f>F121-SUM(Lapse_data!F121,Death_data!F121)</f>
        <v>129</v>
      </c>
      <c r="H121" s="5">
        <f>G121-SUM(Lapse_data!G121,Death_data!G121)</f>
        <v>129</v>
      </c>
      <c r="I121" s="5">
        <f>H121-SUM(Lapse_data!H121,Death_data!H121)</f>
        <v>129</v>
      </c>
      <c r="J121" s="5">
        <f>I121-SUM(Lapse_data!I121,Death_data!I121)</f>
        <v>129</v>
      </c>
      <c r="K121" s="5">
        <f>J121-SUM(Lapse_data!J121,Death_data!J121)</f>
        <v>129</v>
      </c>
      <c r="L121" s="5">
        <f>K121-SUM(Lapse_data!K121,Death_data!K121)</f>
        <v>129</v>
      </c>
      <c r="M121" s="5">
        <f>L121-SUM(Lapse_data!L121,Death_data!L121)</f>
        <v>129</v>
      </c>
      <c r="N121" s="5">
        <f>M121-SUM(Lapse_data!M121,Death_data!M121)</f>
        <v>129</v>
      </c>
      <c r="O121" s="5">
        <f xml:space="preserve"> N121 - SUM(Lapse_data!N121:Y121, Death_data!N121)</f>
        <v>129</v>
      </c>
      <c r="P121" s="5">
        <f xml:space="preserve"> O121 - SUM(Lapse_data!Z121:AK121, Death_data!O121)</f>
        <v>129</v>
      </c>
      <c r="Q121" s="5">
        <f xml:space="preserve"> P121 - SUM(Lapse_data!AL121:AW121, Death_data!P121)</f>
        <v>129</v>
      </c>
      <c r="R121" s="5">
        <f xml:space="preserve"> Q121 - SUM(Lapse_data!AX121:BI121, Death_data!Q121)</f>
        <v>129</v>
      </c>
      <c r="S121" s="5">
        <f xml:space="preserve"> R121 - SUM(Lapse_data!BJ121:BU121, Death_data!R121)</f>
        <v>129</v>
      </c>
      <c r="T121" s="5">
        <f xml:space="preserve"> S121 - SUM(Lapse_data!BV121:CG121, Death_data!S121)</f>
        <v>129</v>
      </c>
      <c r="U121" s="5">
        <f xml:space="preserve"> T121 - SUM(Lapse_data!CH121:CS121, Death_data!T121)</f>
        <v>129</v>
      </c>
      <c r="V121" s="5">
        <f xml:space="preserve"> U121 - SUM(Lapse_data!CT121:DE121, Death_data!U121)</f>
        <v>129</v>
      </c>
      <c r="W121" s="5">
        <f xml:space="preserve"> V121 - SUM(Lapse_data!DF121:DQ121, Death_data!V121)</f>
        <v>129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838D-CA26-4EB3-9BD3-99B626E14307}">
  <sheetPr>
    <tabColor theme="4" tint="-0.499984740745262"/>
  </sheetPr>
  <dimension ref="A1:DU109"/>
  <sheetViews>
    <sheetView showGridLines="0" tabSelected="1" topLeftCell="A106" zoomScale="56" zoomScaleNormal="74" workbookViewId="0">
      <selection activeCell="A109" sqref="A109:H109"/>
    </sheetView>
  </sheetViews>
  <sheetFormatPr defaultRowHeight="14.5" x14ac:dyDescent="0.35"/>
  <cols>
    <col min="1" max="1" width="20" customWidth="1"/>
    <col min="2" max="10" width="7.90625" bestFit="1" customWidth="1"/>
    <col min="11" max="13" width="9" bestFit="1" customWidth="1"/>
    <col min="14" max="21" width="14.7265625" bestFit="1" customWidth="1"/>
    <col min="22" max="22" width="15.81640625" bestFit="1" customWidth="1"/>
    <col min="23" max="100" width="9" bestFit="1" customWidth="1"/>
    <col min="101" max="121" width="10.08984375" bestFit="1" customWidth="1"/>
  </cols>
  <sheetData>
    <row r="1" spans="1:121" ht="15" thickBot="1" x14ac:dyDescent="0.4">
      <c r="A1" s="8" t="s">
        <v>327</v>
      </c>
      <c r="B1" s="28">
        <v>23566508</v>
      </c>
      <c r="C1" s="29"/>
    </row>
    <row r="2" spans="1:121" x14ac:dyDescent="0.35">
      <c r="J2" s="30" t="s">
        <v>330</v>
      </c>
      <c r="K2" s="31"/>
      <c r="L2" s="31"/>
      <c r="M2" s="31"/>
      <c r="N2" s="31"/>
      <c r="O2" s="31"/>
      <c r="P2" s="31"/>
      <c r="Q2" s="31"/>
      <c r="R2" s="31"/>
      <c r="S2" s="31"/>
      <c r="T2" s="31"/>
      <c r="U2" s="31"/>
      <c r="V2" s="31"/>
      <c r="W2" s="31"/>
      <c r="X2" s="31"/>
    </row>
    <row r="3" spans="1:121" ht="406.5" customHeight="1" thickBot="1" x14ac:dyDescent="0.4">
      <c r="A3" s="8" t="s">
        <v>322</v>
      </c>
      <c r="J3" s="25"/>
    </row>
    <row r="4" spans="1:121" ht="107.5" customHeight="1" thickBot="1" x14ac:dyDescent="0.4">
      <c r="A4" s="35" t="s">
        <v>334</v>
      </c>
      <c r="B4" s="33"/>
      <c r="C4" s="33"/>
      <c r="D4" s="33"/>
      <c r="E4" s="33"/>
      <c r="F4" s="33"/>
      <c r="G4" s="33"/>
      <c r="H4" s="34"/>
    </row>
    <row r="6" spans="1:121" x14ac:dyDescent="0.35">
      <c r="A6" s="8" t="s">
        <v>2</v>
      </c>
    </row>
    <row r="7" spans="1:121" x14ac:dyDescent="0.35">
      <c r="A7" s="10" t="s">
        <v>1</v>
      </c>
      <c r="B7" s="10" t="s">
        <v>18</v>
      </c>
      <c r="C7" s="10" t="s">
        <v>19</v>
      </c>
      <c r="D7" s="10" t="s">
        <v>20</v>
      </c>
      <c r="E7" s="10" t="s">
        <v>21</v>
      </c>
      <c r="F7" s="10" t="s">
        <v>22</v>
      </c>
      <c r="G7" s="10" t="s">
        <v>23</v>
      </c>
      <c r="H7" s="10" t="s">
        <v>24</v>
      </c>
      <c r="I7" s="10" t="s">
        <v>25</v>
      </c>
      <c r="J7" s="10" t="s">
        <v>26</v>
      </c>
      <c r="K7" s="10" t="s">
        <v>27</v>
      </c>
      <c r="L7" s="10" t="s">
        <v>28</v>
      </c>
      <c r="M7" s="10" t="s">
        <v>29</v>
      </c>
      <c r="N7" s="10" t="s">
        <v>39</v>
      </c>
      <c r="O7" s="10" t="s">
        <v>40</v>
      </c>
      <c r="P7" s="10" t="s">
        <v>41</v>
      </c>
      <c r="Q7" s="10" t="s">
        <v>42</v>
      </c>
      <c r="R7" s="10" t="s">
        <v>43</v>
      </c>
      <c r="S7" s="10" t="s">
        <v>44</v>
      </c>
      <c r="T7" s="10" t="s">
        <v>45</v>
      </c>
      <c r="U7" s="10" t="s">
        <v>46</v>
      </c>
      <c r="V7" s="10" t="s">
        <v>47</v>
      </c>
      <c r="W7" s="10" t="s">
        <v>48</v>
      </c>
      <c r="X7" s="10" t="s">
        <v>49</v>
      </c>
      <c r="Y7" s="10" t="s">
        <v>50</v>
      </c>
      <c r="Z7" s="10" t="s">
        <v>51</v>
      </c>
      <c r="AA7" s="10" t="s">
        <v>52</v>
      </c>
      <c r="AB7" s="10" t="s">
        <v>53</v>
      </c>
      <c r="AC7" s="10" t="s">
        <v>54</v>
      </c>
      <c r="AD7" s="10" t="s">
        <v>55</v>
      </c>
      <c r="AE7" s="10" t="s">
        <v>56</v>
      </c>
      <c r="AF7" s="10" t="s">
        <v>57</v>
      </c>
      <c r="AG7" s="10" t="s">
        <v>58</v>
      </c>
      <c r="AH7" s="10" t="s">
        <v>59</v>
      </c>
      <c r="AI7" s="10" t="s">
        <v>60</v>
      </c>
      <c r="AJ7" s="10" t="s">
        <v>61</v>
      </c>
      <c r="AK7" s="10" t="s">
        <v>62</v>
      </c>
      <c r="AL7" s="10" t="s">
        <v>63</v>
      </c>
      <c r="AM7" s="10" t="s">
        <v>64</v>
      </c>
      <c r="AN7" s="10" t="s">
        <v>65</v>
      </c>
      <c r="AO7" s="10" t="s">
        <v>66</v>
      </c>
      <c r="AP7" s="10" t="s">
        <v>67</v>
      </c>
      <c r="AQ7" s="10" t="s">
        <v>68</v>
      </c>
      <c r="AR7" s="10" t="s">
        <v>69</v>
      </c>
      <c r="AS7" s="10" t="s">
        <v>70</v>
      </c>
      <c r="AT7" s="10" t="s">
        <v>71</v>
      </c>
      <c r="AU7" s="10" t="s">
        <v>72</v>
      </c>
      <c r="AV7" s="10" t="s">
        <v>73</v>
      </c>
      <c r="AW7" s="10" t="s">
        <v>74</v>
      </c>
      <c r="AX7" s="10" t="s">
        <v>75</v>
      </c>
      <c r="AY7" s="10" t="s">
        <v>76</v>
      </c>
      <c r="AZ7" s="10" t="s">
        <v>77</v>
      </c>
      <c r="BA7" s="10" t="s">
        <v>78</v>
      </c>
      <c r="BB7" s="10" t="s">
        <v>79</v>
      </c>
      <c r="BC7" s="10" t="s">
        <v>80</v>
      </c>
      <c r="BD7" s="10" t="s">
        <v>81</v>
      </c>
      <c r="BE7" s="10" t="s">
        <v>82</v>
      </c>
      <c r="BF7" s="10" t="s">
        <v>83</v>
      </c>
      <c r="BG7" s="10" t="s">
        <v>84</v>
      </c>
      <c r="BH7" s="10" t="s">
        <v>85</v>
      </c>
      <c r="BI7" s="10" t="s">
        <v>86</v>
      </c>
      <c r="BJ7" s="10" t="s">
        <v>87</v>
      </c>
      <c r="BK7" s="10" t="s">
        <v>88</v>
      </c>
      <c r="BL7" s="10" t="s">
        <v>89</v>
      </c>
      <c r="BM7" s="10" t="s">
        <v>90</v>
      </c>
      <c r="BN7" s="10" t="s">
        <v>91</v>
      </c>
      <c r="BO7" s="10" t="s">
        <v>92</v>
      </c>
      <c r="BP7" s="10" t="s">
        <v>93</v>
      </c>
      <c r="BQ7" s="10" t="s">
        <v>94</v>
      </c>
      <c r="BR7" s="10" t="s">
        <v>95</v>
      </c>
      <c r="BS7" s="10" t="s">
        <v>96</v>
      </c>
      <c r="BT7" s="10" t="s">
        <v>97</v>
      </c>
      <c r="BU7" s="10" t="s">
        <v>98</v>
      </c>
      <c r="BV7" s="10" t="s">
        <v>99</v>
      </c>
      <c r="BW7" s="10" t="s">
        <v>100</v>
      </c>
      <c r="BX7" s="10" t="s">
        <v>101</v>
      </c>
      <c r="BY7" s="10" t="s">
        <v>102</v>
      </c>
      <c r="BZ7" s="10" t="s">
        <v>103</v>
      </c>
      <c r="CA7" s="10" t="s">
        <v>104</v>
      </c>
      <c r="CB7" s="10" t="s">
        <v>105</v>
      </c>
      <c r="CC7" s="10" t="s">
        <v>106</v>
      </c>
      <c r="CD7" s="10" t="s">
        <v>107</v>
      </c>
      <c r="CE7" s="10" t="s">
        <v>108</v>
      </c>
      <c r="CF7" s="10" t="s">
        <v>109</v>
      </c>
      <c r="CG7" s="10" t="s">
        <v>110</v>
      </c>
      <c r="CH7" s="10" t="s">
        <v>111</v>
      </c>
      <c r="CI7" s="10" t="s">
        <v>112</v>
      </c>
      <c r="CJ7" s="10" t="s">
        <v>113</v>
      </c>
      <c r="CK7" s="10" t="s">
        <v>114</v>
      </c>
      <c r="CL7" s="10" t="s">
        <v>115</v>
      </c>
      <c r="CM7" s="10" t="s">
        <v>116</v>
      </c>
      <c r="CN7" s="10" t="s">
        <v>117</v>
      </c>
      <c r="CO7" s="10" t="s">
        <v>118</v>
      </c>
      <c r="CP7" s="10" t="s">
        <v>119</v>
      </c>
      <c r="CQ7" s="10" t="s">
        <v>120</v>
      </c>
      <c r="CR7" s="10" t="s">
        <v>121</v>
      </c>
      <c r="CS7" s="10" t="s">
        <v>122</v>
      </c>
      <c r="CT7" s="10" t="s">
        <v>123</v>
      </c>
      <c r="CU7" s="10" t="s">
        <v>124</v>
      </c>
      <c r="CV7" s="10" t="s">
        <v>125</v>
      </c>
      <c r="CW7" s="10" t="s">
        <v>126</v>
      </c>
      <c r="CX7" s="10" t="s">
        <v>127</v>
      </c>
      <c r="CY7" s="10" t="s">
        <v>128</v>
      </c>
      <c r="CZ7" s="10" t="s">
        <v>129</v>
      </c>
      <c r="DA7" s="10" t="s">
        <v>130</v>
      </c>
      <c r="DB7" s="10" t="s">
        <v>131</v>
      </c>
      <c r="DC7" s="10" t="s">
        <v>132</v>
      </c>
      <c r="DD7" s="10" t="s">
        <v>133</v>
      </c>
      <c r="DE7" s="10" t="s">
        <v>134</v>
      </c>
      <c r="DF7" s="10" t="s">
        <v>135</v>
      </c>
      <c r="DG7" s="10" t="s">
        <v>136</v>
      </c>
      <c r="DH7" s="10" t="s">
        <v>137</v>
      </c>
      <c r="DI7" s="10" t="s">
        <v>138</v>
      </c>
      <c r="DJ7" s="10" t="s">
        <v>139</v>
      </c>
      <c r="DK7" s="10" t="s">
        <v>140</v>
      </c>
      <c r="DL7" s="10" t="s">
        <v>141</v>
      </c>
      <c r="DM7" s="10" t="s">
        <v>142</v>
      </c>
      <c r="DN7" s="10" t="s">
        <v>143</v>
      </c>
      <c r="DO7" s="10" t="s">
        <v>144</v>
      </c>
      <c r="DP7" s="10" t="s">
        <v>145</v>
      </c>
      <c r="DQ7" s="11" t="s">
        <v>146</v>
      </c>
    </row>
    <row r="8" spans="1:121" x14ac:dyDescent="0.35">
      <c r="A8" s="10">
        <v>2015</v>
      </c>
      <c r="B8">
        <f>SUMIFS(Lapse_data!B:B,
        Lapse_data!$A:$A, "&gt;="&amp;DATE($A8,1,1),
        Lapse_data!$A:$A, "&lt;="&amp;DATE($A8,12,31))</f>
        <v>596</v>
      </c>
      <c r="C8">
        <f>SUMIFS(Lapse_data!C:C,
        Lapse_data!$A:$A, "&gt;="&amp;DATE($A8,1,1),
        Lapse_data!$A:$A, "&lt;="&amp;DATE($A8,12,31))</f>
        <v>1022</v>
      </c>
      <c r="D8">
        <f>SUMIFS(Lapse_data!D:D,
        Lapse_data!$A:$A, "&gt;="&amp;DATE($A8,1,1),
        Lapse_data!$A:$A, "&lt;="&amp;DATE($A8,12,31))</f>
        <v>632</v>
      </c>
      <c r="E8">
        <f>SUMIFS(Lapse_data!E:E,
        Lapse_data!$A:$A, "&gt;="&amp;DATE($A8,1,1),
        Lapse_data!$A:$A, "&lt;="&amp;DATE($A8,12,31))</f>
        <v>712</v>
      </c>
      <c r="F8">
        <f>SUMIFS(Lapse_data!F:F,
        Lapse_data!$A:$A, "&gt;="&amp;DATE($A8,1,1),
        Lapse_data!$A:$A, "&lt;="&amp;DATE($A8,12,31))</f>
        <v>533</v>
      </c>
      <c r="G8">
        <f>SUMIFS(Lapse_data!G:G,
        Lapse_data!$A:$A, "&gt;="&amp;DATE($A8,1,1),
        Lapse_data!$A:$A, "&lt;="&amp;DATE($A8,12,31))</f>
        <v>478</v>
      </c>
      <c r="H8">
        <f>SUMIFS(Lapse_data!H:H,
        Lapse_data!$A:$A, "&gt;="&amp;DATE($A8,1,1),
        Lapse_data!$A:$A, "&lt;="&amp;DATE($A8,12,31))</f>
        <v>395</v>
      </c>
      <c r="I8">
        <f>SUMIFS(Lapse_data!I:I,
        Lapse_data!$A:$A, "&gt;="&amp;DATE($A8,1,1),
        Lapse_data!$A:$A, "&lt;="&amp;DATE($A8,12,31))</f>
        <v>355</v>
      </c>
      <c r="J8">
        <f>SUMIFS(Lapse_data!J:J,
        Lapse_data!$A:$A, "&gt;="&amp;DATE($A8,1,1),
        Lapse_data!$A:$A, "&lt;="&amp;DATE($A8,12,31))</f>
        <v>336</v>
      </c>
      <c r="K8">
        <f>SUMIFS(Lapse_data!K:K,
        Lapse_data!$A:$A, "&gt;="&amp;DATE($A8,1,1),
        Lapse_data!$A:$A, "&lt;="&amp;DATE($A8,12,31))</f>
        <v>272</v>
      </c>
      <c r="L8">
        <f>SUMIFS(Lapse_data!L:L,
        Lapse_data!$A:$A, "&gt;="&amp;DATE($A8,1,1),
        Lapse_data!$A:$A, "&lt;="&amp;DATE($A8,12,31))</f>
        <v>231</v>
      </c>
      <c r="M8">
        <f>SUMIFS(Lapse_data!M:M,
        Lapse_data!$A:$A, "&gt;="&amp;DATE($A8,1,1),
        Lapse_data!$A:$A, "&lt;="&amp;DATE($A8,12,31))</f>
        <v>238</v>
      </c>
      <c r="N8">
        <f>SUMIFS(Lapse_data!N:N,
        Lapse_data!$A:$A, "&gt;="&amp;DATE($A8,1,1),
        Lapse_data!$A:$A, "&lt;="&amp;DATE($A8,12,31))</f>
        <v>229</v>
      </c>
      <c r="O8">
        <f>SUMIFS(Lapse_data!O:O,
        Lapse_data!$A:$A, "&gt;="&amp;DATE($A8,1,1),
        Lapse_data!$A:$A, "&lt;="&amp;DATE($A8,12,31))</f>
        <v>236</v>
      </c>
      <c r="P8">
        <f>SUMIFS(Lapse_data!P:P,
        Lapse_data!$A:$A, "&gt;="&amp;DATE($A8,1,1),
        Lapse_data!$A:$A, "&lt;="&amp;DATE($A8,12,31))</f>
        <v>202</v>
      </c>
      <c r="Q8">
        <f>SUMIFS(Lapse_data!Q:Q,
        Lapse_data!$A:$A, "&gt;="&amp;DATE($A8,1,1),
        Lapse_data!$A:$A, "&lt;="&amp;DATE($A8,12,31))</f>
        <v>193</v>
      </c>
      <c r="R8">
        <f>SUMIFS(Lapse_data!R:R,
        Lapse_data!$A:$A, "&gt;="&amp;DATE($A8,1,1),
        Lapse_data!$A:$A, "&lt;="&amp;DATE($A8,12,31))</f>
        <v>163</v>
      </c>
      <c r="S8">
        <f>SUMIFS(Lapse_data!S:S,
        Lapse_data!$A:$A, "&gt;="&amp;DATE($A8,1,1),
        Lapse_data!$A:$A, "&lt;="&amp;DATE($A8,12,31))</f>
        <v>142</v>
      </c>
      <c r="T8">
        <f>SUMIFS(Lapse_data!T:T,
        Lapse_data!$A:$A, "&gt;="&amp;DATE($A8,1,1),
        Lapse_data!$A:$A, "&lt;="&amp;DATE($A8,12,31))</f>
        <v>145</v>
      </c>
      <c r="U8">
        <f>SUMIFS(Lapse_data!U:U,
        Lapse_data!$A:$A, "&gt;="&amp;DATE($A8,1,1),
        Lapse_data!$A:$A, "&lt;="&amp;DATE($A8,12,31))</f>
        <v>124</v>
      </c>
      <c r="V8">
        <f>SUMIFS(Lapse_data!V:V,
        Lapse_data!$A:$A, "&gt;="&amp;DATE($A8,1,1),
        Lapse_data!$A:$A, "&lt;="&amp;DATE($A8,12,31))</f>
        <v>129</v>
      </c>
      <c r="W8">
        <f>SUMIFS(Lapse_data!W:W,
        Lapse_data!$A:$A, "&gt;="&amp;DATE($A8,1,1),
        Lapse_data!$A:$A, "&lt;="&amp;DATE($A8,12,31))</f>
        <v>121</v>
      </c>
      <c r="X8">
        <f>SUMIFS(Lapse_data!X:X,
        Lapse_data!$A:$A, "&gt;="&amp;DATE($A8,1,1),
        Lapse_data!$A:$A, "&lt;="&amp;DATE($A8,12,31))</f>
        <v>104</v>
      </c>
      <c r="Y8">
        <f>SUMIFS(Lapse_data!Y:Y,
        Lapse_data!$A:$A, "&gt;="&amp;DATE($A8,1,1),
        Lapse_data!$A:$A, "&lt;="&amp;DATE($A8,12,31))</f>
        <v>114</v>
      </c>
      <c r="Z8">
        <f>SUMIFS(Lapse_data!Z:Z,
        Lapse_data!$A:$A, "&gt;="&amp;DATE($A8,1,1),
        Lapse_data!$A:$A, "&lt;="&amp;DATE($A8,12,31))</f>
        <v>91</v>
      </c>
      <c r="AA8">
        <f>SUMIFS(Lapse_data!AA:AA,
        Lapse_data!$A:$A, "&gt;="&amp;DATE($A8,1,1),
        Lapse_data!$A:$A, "&lt;="&amp;DATE($A8,12,31))</f>
        <v>100</v>
      </c>
      <c r="AB8">
        <f>SUMIFS(Lapse_data!AB:AB,
        Lapse_data!$A:$A, "&gt;="&amp;DATE($A8,1,1),
        Lapse_data!$A:$A, "&lt;="&amp;DATE($A8,12,31))</f>
        <v>80</v>
      </c>
      <c r="AC8">
        <f>SUMIFS(Lapse_data!AC:AC,
        Lapse_data!$A:$A, "&gt;="&amp;DATE($A8,1,1),
        Lapse_data!$A:$A, "&lt;="&amp;DATE($A8,12,31))</f>
        <v>97</v>
      </c>
      <c r="AD8">
        <f>SUMIFS(Lapse_data!AD:AD,
        Lapse_data!$A:$A, "&gt;="&amp;DATE($A8,1,1),
        Lapse_data!$A:$A, "&lt;="&amp;DATE($A8,12,31))</f>
        <v>99</v>
      </c>
      <c r="AE8">
        <f>SUMIFS(Lapse_data!AE:AE,
        Lapse_data!$A:$A, "&gt;="&amp;DATE($A8,1,1),
        Lapse_data!$A:$A, "&lt;="&amp;DATE($A8,12,31))</f>
        <v>70</v>
      </c>
      <c r="AF8">
        <f>SUMIFS(Lapse_data!AF:AF,
        Lapse_data!$A:$A, "&gt;="&amp;DATE($A8,1,1),
        Lapse_data!$A:$A, "&lt;="&amp;DATE($A8,12,31))</f>
        <v>81</v>
      </c>
      <c r="AG8">
        <f>SUMIFS(Lapse_data!AG:AG,
        Lapse_data!$A:$A, "&gt;="&amp;DATE($A8,1,1),
        Lapse_data!$A:$A, "&lt;="&amp;DATE($A8,12,31))</f>
        <v>78</v>
      </c>
      <c r="AH8">
        <f>SUMIFS(Lapse_data!AH:AH,
        Lapse_data!$A:$A, "&gt;="&amp;DATE($A8,1,1),
        Lapse_data!$A:$A, "&lt;="&amp;DATE($A8,12,31))</f>
        <v>57</v>
      </c>
      <c r="AI8">
        <f>SUMIFS(Lapse_data!AI:AI,
        Lapse_data!$A:$A, "&gt;="&amp;DATE($A8,1,1),
        Lapse_data!$A:$A, "&lt;="&amp;DATE($A8,12,31))</f>
        <v>66</v>
      </c>
      <c r="AJ8">
        <f>SUMIFS(Lapse_data!AJ:AJ,
        Lapse_data!$A:$A, "&gt;="&amp;DATE($A8,1,1),
        Lapse_data!$A:$A, "&lt;="&amp;DATE($A8,12,31))</f>
        <v>72</v>
      </c>
      <c r="AK8">
        <f>SUMIFS(Lapse_data!AK:AK,
        Lapse_data!$A:$A, "&gt;="&amp;DATE($A8,1,1),
        Lapse_data!$A:$A, "&lt;="&amp;DATE($A8,12,31))</f>
        <v>64</v>
      </c>
      <c r="AL8">
        <f>SUMIFS(Lapse_data!AL:AL,
        Lapse_data!$A:$A, "&gt;="&amp;DATE($A8,1,1),
        Lapse_data!$A:$A, "&lt;="&amp;DATE($A8,12,31))</f>
        <v>69</v>
      </c>
      <c r="AM8">
        <f>SUMIFS(Lapse_data!AM:AM,
        Lapse_data!$A:$A, "&gt;="&amp;DATE($A8,1,1),
        Lapse_data!$A:$A, "&lt;="&amp;DATE($A8,12,31))</f>
        <v>62</v>
      </c>
      <c r="AN8">
        <f>SUMIFS(Lapse_data!AN:AN,
        Lapse_data!$A:$A, "&gt;="&amp;DATE($A8,1,1),
        Lapse_data!$A:$A, "&lt;="&amp;DATE($A8,12,31))</f>
        <v>69</v>
      </c>
      <c r="AO8">
        <f>SUMIFS(Lapse_data!AO:AO,
        Lapse_data!$A:$A, "&gt;="&amp;DATE($A8,1,1),
        Lapse_data!$A:$A, "&lt;="&amp;DATE($A8,12,31))</f>
        <v>50</v>
      </c>
      <c r="AP8">
        <f>SUMIFS(Lapse_data!AP:AP,
        Lapse_data!$A:$A, "&gt;="&amp;DATE($A8,1,1),
        Lapse_data!$A:$A, "&lt;="&amp;DATE($A8,12,31))</f>
        <v>42</v>
      </c>
      <c r="AQ8">
        <f>SUMIFS(Lapse_data!AQ:AQ,
        Lapse_data!$A:$A, "&gt;="&amp;DATE($A8,1,1),
        Lapse_data!$A:$A, "&lt;="&amp;DATE($A8,12,31))</f>
        <v>51</v>
      </c>
      <c r="AR8">
        <f>SUMIFS(Lapse_data!AR:AR,
        Lapse_data!$A:$A, "&gt;="&amp;DATE($A8,1,1),
        Lapse_data!$A:$A, "&lt;="&amp;DATE($A8,12,31))</f>
        <v>56</v>
      </c>
      <c r="AS8">
        <f>SUMIFS(Lapse_data!AS:AS,
        Lapse_data!$A:$A, "&gt;="&amp;DATE($A8,1,1),
        Lapse_data!$A:$A, "&lt;="&amp;DATE($A8,12,31))</f>
        <v>49</v>
      </c>
      <c r="AT8">
        <f>SUMIFS(Lapse_data!AT:AT,
        Lapse_data!$A:$A, "&gt;="&amp;DATE($A8,1,1),
        Lapse_data!$A:$A, "&lt;="&amp;DATE($A8,12,31))</f>
        <v>44</v>
      </c>
      <c r="AU8">
        <f>SUMIFS(Lapse_data!AU:AU,
        Lapse_data!$A:$A, "&gt;="&amp;DATE($A8,1,1),
        Lapse_data!$A:$A, "&lt;="&amp;DATE($A8,12,31))</f>
        <v>45</v>
      </c>
      <c r="AV8">
        <f>SUMIFS(Lapse_data!AV:AV,
        Lapse_data!$A:$A, "&gt;="&amp;DATE($A8,1,1),
        Lapse_data!$A:$A, "&lt;="&amp;DATE($A8,12,31))</f>
        <v>50</v>
      </c>
      <c r="AW8">
        <f>SUMIFS(Lapse_data!AW:AW,
        Lapse_data!$A:$A, "&gt;="&amp;DATE($A8,1,1),
        Lapse_data!$A:$A, "&lt;="&amp;DATE($A8,12,31))</f>
        <v>50</v>
      </c>
      <c r="AX8">
        <f>SUMIFS(Lapse_data!AX:AX,
        Lapse_data!$A:$A, "&gt;="&amp;DATE($A8,1,1),
        Lapse_data!$A:$A, "&lt;="&amp;DATE($A8,12,31))</f>
        <v>41</v>
      </c>
      <c r="AY8">
        <f>SUMIFS(Lapse_data!AY:AY,
        Lapse_data!$A:$A, "&gt;="&amp;DATE($A8,1,1),
        Lapse_data!$A:$A, "&lt;="&amp;DATE($A8,12,31))</f>
        <v>45</v>
      </c>
      <c r="AZ8">
        <f>SUMIFS(Lapse_data!AZ:AZ,
        Lapse_data!$A:$A, "&gt;="&amp;DATE($A8,1,1),
        Lapse_data!$A:$A, "&lt;="&amp;DATE($A8,12,31))</f>
        <v>35</v>
      </c>
      <c r="BA8">
        <f>SUMIFS(Lapse_data!BA:BA,
        Lapse_data!$A:$A, "&gt;="&amp;DATE($A8,1,1),
        Lapse_data!$A:$A, "&lt;="&amp;DATE($A8,12,31))</f>
        <v>33</v>
      </c>
      <c r="BB8">
        <f>SUMIFS(Lapse_data!BB:BB,
        Lapse_data!$A:$A, "&gt;="&amp;DATE($A8,1,1),
        Lapse_data!$A:$A, "&lt;="&amp;DATE($A8,12,31))</f>
        <v>47</v>
      </c>
      <c r="BC8">
        <f>SUMIFS(Lapse_data!BC:BC,
        Lapse_data!$A:$A, "&gt;="&amp;DATE($A8,1,1),
        Lapse_data!$A:$A, "&lt;="&amp;DATE($A8,12,31))</f>
        <v>36</v>
      </c>
      <c r="BD8">
        <f>SUMIFS(Lapse_data!BD:BD,
        Lapse_data!$A:$A, "&gt;="&amp;DATE($A8,1,1),
        Lapse_data!$A:$A, "&lt;="&amp;DATE($A8,12,31))</f>
        <v>25</v>
      </c>
      <c r="BE8">
        <f>SUMIFS(Lapse_data!BE:BE,
        Lapse_data!$A:$A, "&gt;="&amp;DATE($A8,1,1),
        Lapse_data!$A:$A, "&lt;="&amp;DATE($A8,12,31))</f>
        <v>32</v>
      </c>
      <c r="BF8">
        <f>SUMIFS(Lapse_data!BF:BF,
        Lapse_data!$A:$A, "&gt;="&amp;DATE($A8,1,1),
        Lapse_data!$A:$A, "&lt;="&amp;DATE($A8,12,31))</f>
        <v>26</v>
      </c>
      <c r="BG8">
        <f>SUMIFS(Lapse_data!BG:BG,
        Lapse_data!$A:$A, "&gt;="&amp;DATE($A8,1,1),
        Lapse_data!$A:$A, "&lt;="&amp;DATE($A8,12,31))</f>
        <v>40</v>
      </c>
      <c r="BH8">
        <f>SUMIFS(Lapse_data!BH:BH,
        Lapse_data!$A:$A, "&gt;="&amp;DATE($A8,1,1),
        Lapse_data!$A:$A, "&lt;="&amp;DATE($A8,12,31))</f>
        <v>27</v>
      </c>
      <c r="BI8">
        <f>SUMIFS(Lapse_data!BI:BI,
        Lapse_data!$A:$A, "&gt;="&amp;DATE($A8,1,1),
        Lapse_data!$A:$A, "&lt;="&amp;DATE($A8,12,31))</f>
        <v>33</v>
      </c>
      <c r="BJ8">
        <f>SUMIFS(Lapse_data!BJ:BJ,
        Lapse_data!$A:$A, "&gt;="&amp;DATE($A8,1,1),
        Lapse_data!$A:$A, "&lt;="&amp;DATE($A8,12,31))</f>
        <v>25</v>
      </c>
      <c r="BK8">
        <f>SUMIFS(Lapse_data!BK:BK,
        Lapse_data!$A:$A, "&gt;="&amp;DATE($A8,1,1),
        Lapse_data!$A:$A, "&lt;="&amp;DATE($A8,12,31))</f>
        <v>28</v>
      </c>
      <c r="BL8">
        <f>SUMIFS(Lapse_data!BL:BL,
        Lapse_data!$A:$A, "&gt;="&amp;DATE($A8,1,1),
        Lapse_data!$A:$A, "&lt;="&amp;DATE($A8,12,31))</f>
        <v>27</v>
      </c>
      <c r="BM8">
        <f>SUMIFS(Lapse_data!BM:BM,
        Lapse_data!$A:$A, "&gt;="&amp;DATE($A8,1,1),
        Lapse_data!$A:$A, "&lt;="&amp;DATE($A8,12,31))</f>
        <v>22</v>
      </c>
      <c r="BN8">
        <f>SUMIFS(Lapse_data!BN:BN,
        Lapse_data!$A:$A, "&gt;="&amp;DATE($A8,1,1),
        Lapse_data!$A:$A, "&lt;="&amp;DATE($A8,12,31))</f>
        <v>23</v>
      </c>
      <c r="BO8">
        <f>SUMIFS(Lapse_data!BO:BO,
        Lapse_data!$A:$A, "&gt;="&amp;DATE($A8,1,1),
        Lapse_data!$A:$A, "&lt;="&amp;DATE($A8,12,31))</f>
        <v>30</v>
      </c>
      <c r="BP8">
        <f>SUMIFS(Lapse_data!BP:BP,
        Lapse_data!$A:$A, "&gt;="&amp;DATE($A8,1,1),
        Lapse_data!$A:$A, "&lt;="&amp;DATE($A8,12,31))</f>
        <v>35</v>
      </c>
      <c r="BQ8">
        <f>SUMIFS(Lapse_data!BQ:BQ,
        Lapse_data!$A:$A, "&gt;="&amp;DATE($A8,1,1),
        Lapse_data!$A:$A, "&lt;="&amp;DATE($A8,12,31))</f>
        <v>17</v>
      </c>
      <c r="BR8">
        <f>SUMIFS(Lapse_data!BR:BR,
        Lapse_data!$A:$A, "&gt;="&amp;DATE($A8,1,1),
        Lapse_data!$A:$A, "&lt;="&amp;DATE($A8,12,31))</f>
        <v>22</v>
      </c>
      <c r="BS8">
        <f>SUMIFS(Lapse_data!BS:BS,
        Lapse_data!$A:$A, "&gt;="&amp;DATE($A8,1,1),
        Lapse_data!$A:$A, "&lt;="&amp;DATE($A8,12,31))</f>
        <v>22</v>
      </c>
      <c r="BT8">
        <f>SUMIFS(Lapse_data!BT:BT,
        Lapse_data!$A:$A, "&gt;="&amp;DATE($A8,1,1),
        Lapse_data!$A:$A, "&lt;="&amp;DATE($A8,12,31))</f>
        <v>25</v>
      </c>
      <c r="BU8">
        <f>SUMIFS(Lapse_data!BU:BU,
        Lapse_data!$A:$A, "&gt;="&amp;DATE($A8,1,1),
        Lapse_data!$A:$A, "&lt;="&amp;DATE($A8,12,31))</f>
        <v>28</v>
      </c>
      <c r="BV8">
        <f>SUMIFS(Lapse_data!BV:BV,
        Lapse_data!$A:$A, "&gt;="&amp;DATE($A8,1,1),
        Lapse_data!$A:$A, "&lt;="&amp;DATE($A8,12,31))</f>
        <v>14</v>
      </c>
      <c r="BW8">
        <f>SUMIFS(Lapse_data!BW:BW,
        Lapse_data!$A:$A, "&gt;="&amp;DATE($A8,1,1),
        Lapse_data!$A:$A, "&lt;="&amp;DATE($A8,12,31))</f>
        <v>23</v>
      </c>
      <c r="BX8">
        <f>SUMIFS(Lapse_data!BX:BX,
        Lapse_data!$A:$A, "&gt;="&amp;DATE($A8,1,1),
        Lapse_data!$A:$A, "&lt;="&amp;DATE($A8,12,31))</f>
        <v>17</v>
      </c>
      <c r="BY8">
        <f>SUMIFS(Lapse_data!BY:BY,
        Lapse_data!$A:$A, "&gt;="&amp;DATE($A8,1,1),
        Lapse_data!$A:$A, "&lt;="&amp;DATE($A8,12,31))</f>
        <v>20</v>
      </c>
      <c r="BZ8">
        <f>SUMIFS(Lapse_data!BZ:BZ,
        Lapse_data!$A:$A, "&gt;="&amp;DATE($A8,1,1),
        Lapse_data!$A:$A, "&lt;="&amp;DATE($A8,12,31))</f>
        <v>20</v>
      </c>
      <c r="CA8">
        <f>SUMIFS(Lapse_data!CA:CA,
        Lapse_data!$A:$A, "&gt;="&amp;DATE($A8,1,1),
        Lapse_data!$A:$A, "&lt;="&amp;DATE($A8,12,31))</f>
        <v>18</v>
      </c>
      <c r="CB8">
        <f>SUMIFS(Lapse_data!CB:CB,
        Lapse_data!$A:$A, "&gt;="&amp;DATE($A8,1,1),
        Lapse_data!$A:$A, "&lt;="&amp;DATE($A8,12,31))</f>
        <v>23</v>
      </c>
      <c r="CC8">
        <f>SUMIFS(Lapse_data!CC:CC,
        Lapse_data!$A:$A, "&gt;="&amp;DATE($A8,1,1),
        Lapse_data!$A:$A, "&lt;="&amp;DATE($A8,12,31))</f>
        <v>22</v>
      </c>
      <c r="CD8">
        <f>SUMIFS(Lapse_data!CD:CD,
        Lapse_data!$A:$A, "&gt;="&amp;DATE($A8,1,1),
        Lapse_data!$A:$A, "&lt;="&amp;DATE($A8,12,31))</f>
        <v>18</v>
      </c>
      <c r="CE8">
        <f>SUMIFS(Lapse_data!CE:CE,
        Lapse_data!$A:$A, "&gt;="&amp;DATE($A8,1,1),
        Lapse_data!$A:$A, "&lt;="&amp;DATE($A8,12,31))</f>
        <v>13</v>
      </c>
      <c r="CF8">
        <f>SUMIFS(Lapse_data!CF:CF,
        Lapse_data!$A:$A, "&gt;="&amp;DATE($A8,1,1),
        Lapse_data!$A:$A, "&lt;="&amp;DATE($A8,12,31))</f>
        <v>18</v>
      </c>
      <c r="CG8">
        <f>SUMIFS(Lapse_data!CG:CG,
        Lapse_data!$A:$A, "&gt;="&amp;DATE($A8,1,1),
        Lapse_data!$A:$A, "&lt;="&amp;DATE($A8,12,31))</f>
        <v>19</v>
      </c>
      <c r="CH8">
        <f>SUMIFS(Lapse_data!CH:CH,
        Lapse_data!$A:$A, "&gt;="&amp;DATE($A8,1,1),
        Lapse_data!$A:$A, "&lt;="&amp;DATE($A8,12,31))</f>
        <v>16</v>
      </c>
      <c r="CI8">
        <f>SUMIFS(Lapse_data!CI:CI,
        Lapse_data!$A:$A, "&gt;="&amp;DATE($A8,1,1),
        Lapse_data!$A:$A, "&lt;="&amp;DATE($A8,12,31))</f>
        <v>11</v>
      </c>
      <c r="CJ8">
        <f>SUMIFS(Lapse_data!CJ:CJ,
        Lapse_data!$A:$A, "&gt;="&amp;DATE($A8,1,1),
        Lapse_data!$A:$A, "&lt;="&amp;DATE($A8,12,31))</f>
        <v>13</v>
      </c>
      <c r="CK8">
        <f>SUMIFS(Lapse_data!CK:CK,
        Lapse_data!$A:$A, "&gt;="&amp;DATE($A8,1,1),
        Lapse_data!$A:$A, "&lt;="&amp;DATE($A8,12,31))</f>
        <v>16</v>
      </c>
      <c r="CL8">
        <f>SUMIFS(Lapse_data!CL:CL,
        Lapse_data!$A:$A, "&gt;="&amp;DATE($A8,1,1),
        Lapse_data!$A:$A, "&lt;="&amp;DATE($A8,12,31))</f>
        <v>17</v>
      </c>
      <c r="CM8">
        <f>SUMIFS(Lapse_data!CM:CM,
        Lapse_data!$A:$A, "&gt;="&amp;DATE($A8,1,1),
        Lapse_data!$A:$A, "&lt;="&amp;DATE($A8,12,31))</f>
        <v>11</v>
      </c>
      <c r="CN8">
        <f>SUMIFS(Lapse_data!CN:CN,
        Lapse_data!$A:$A, "&gt;="&amp;DATE($A8,1,1),
        Lapse_data!$A:$A, "&lt;="&amp;DATE($A8,12,31))</f>
        <v>16</v>
      </c>
      <c r="CO8">
        <f>SUMIFS(Lapse_data!CO:CO,
        Lapse_data!$A:$A, "&gt;="&amp;DATE($A8,1,1),
        Lapse_data!$A:$A, "&lt;="&amp;DATE($A8,12,31))</f>
        <v>16</v>
      </c>
      <c r="CP8">
        <f>SUMIFS(Lapse_data!CP:CP,
        Lapse_data!$A:$A, "&gt;="&amp;DATE($A8,1,1),
        Lapse_data!$A:$A, "&lt;="&amp;DATE($A8,12,31))</f>
        <v>14</v>
      </c>
      <c r="CQ8">
        <f>SUMIFS(Lapse_data!CQ:CQ,
        Lapse_data!$A:$A, "&gt;="&amp;DATE($A8,1,1),
        Lapse_data!$A:$A, "&lt;="&amp;DATE($A8,12,31))</f>
        <v>9</v>
      </c>
      <c r="CR8">
        <f>SUMIFS(Lapse_data!CR:CR,
        Lapse_data!$A:$A, "&gt;="&amp;DATE($A8,1,1),
        Lapse_data!$A:$A, "&lt;="&amp;DATE($A8,12,31))</f>
        <v>10</v>
      </c>
      <c r="CS8">
        <f>SUMIFS(Lapse_data!CS:CS,
        Lapse_data!$A:$A, "&gt;="&amp;DATE($A8,1,1),
        Lapse_data!$A:$A, "&lt;="&amp;DATE($A8,12,31))</f>
        <v>19</v>
      </c>
      <c r="CT8">
        <f>SUMIFS(Lapse_data!CT:CT,
        Lapse_data!$A:$A, "&gt;="&amp;DATE($A8,1,1),
        Lapse_data!$A:$A, "&lt;="&amp;DATE($A8,12,31))</f>
        <v>11</v>
      </c>
      <c r="CU8">
        <f>SUMIFS(Lapse_data!CU:CU,
        Lapse_data!$A:$A, "&gt;="&amp;DATE($A8,1,1),
        Lapse_data!$A:$A, "&lt;="&amp;DATE($A8,12,31))</f>
        <v>14</v>
      </c>
      <c r="CV8">
        <f>SUMIFS(Lapse_data!CV:CV,
        Lapse_data!$A:$A, "&gt;="&amp;DATE($A8,1,1),
        Lapse_data!$A:$A, "&lt;="&amp;DATE($A8,12,31))</f>
        <v>11</v>
      </c>
      <c r="CW8">
        <f>SUMIFS(Lapse_data!CW:CW,
        Lapse_data!$A:$A, "&gt;="&amp;DATE($A8,1,1),
        Lapse_data!$A:$A, "&lt;="&amp;DATE($A8,12,31))</f>
        <v>11</v>
      </c>
      <c r="CX8">
        <f>SUMIFS(Lapse_data!CX:CX,
        Lapse_data!$A:$A, "&gt;="&amp;DATE($A8,1,1),
        Lapse_data!$A:$A, "&lt;="&amp;DATE($A8,12,31))</f>
        <v>16</v>
      </c>
      <c r="CY8">
        <f>SUMIFS(Lapse_data!CY:CY,
        Lapse_data!$A:$A, "&gt;="&amp;DATE($A8,1,1),
        Lapse_data!$A:$A, "&lt;="&amp;DATE($A8,12,31))</f>
        <v>7</v>
      </c>
      <c r="CZ8">
        <f>SUMIFS(Lapse_data!CZ:CZ,
        Lapse_data!$A:$A, "&gt;="&amp;DATE($A8,1,1),
        Lapse_data!$A:$A, "&lt;="&amp;DATE($A8,12,31))</f>
        <v>12</v>
      </c>
      <c r="DA8">
        <f>SUMIFS(Lapse_data!DA:DA,
        Lapse_data!$A:$A, "&gt;="&amp;DATE($A8,1,1),
        Lapse_data!$A:$A, "&lt;="&amp;DATE($A8,12,31))</f>
        <v>4</v>
      </c>
      <c r="DB8">
        <f>SUMIFS(Lapse_data!DB:DB,
        Lapse_data!$A:$A, "&gt;="&amp;DATE($A8,1,1),
        Lapse_data!$A:$A, "&lt;="&amp;DATE($A8,12,31))</f>
        <v>8</v>
      </c>
      <c r="DC8">
        <f>SUMIFS(Lapse_data!DC:DC,
        Lapse_data!$A:$A, "&gt;="&amp;DATE($A8,1,1),
        Lapse_data!$A:$A, "&lt;="&amp;DATE($A8,12,31))</f>
        <v>10</v>
      </c>
      <c r="DD8">
        <f>SUMIFS(Lapse_data!DD:DD,
        Lapse_data!$A:$A, "&gt;="&amp;DATE($A8,1,1),
        Lapse_data!$A:$A, "&lt;="&amp;DATE($A8,12,31))</f>
        <v>13</v>
      </c>
      <c r="DE8">
        <f>SUMIFS(Lapse_data!DE:DE,
        Lapse_data!$A:$A, "&gt;="&amp;DATE($A8,1,1),
        Lapse_data!$A:$A, "&lt;="&amp;DATE($A8,12,31))</f>
        <v>11</v>
      </c>
      <c r="DF8">
        <f>SUMIFS(Lapse_data!DF:DF,
        Lapse_data!$A:$A, "&gt;="&amp;DATE($A8,1,1),
        Lapse_data!$A:$A, "&lt;="&amp;DATE($A8,12,31))</f>
        <v>15</v>
      </c>
      <c r="DG8">
        <f>SUMIFS(Lapse_data!DG:DG,
        Lapse_data!$A:$A, "&gt;="&amp;DATE($A8,1,1),
        Lapse_data!$A:$A, "&lt;="&amp;DATE($A8,12,31))</f>
        <v>14</v>
      </c>
      <c r="DH8">
        <f>SUMIFS(Lapse_data!DH:DH,
        Lapse_data!$A:$A, "&gt;="&amp;DATE($A8,1,1),
        Lapse_data!$A:$A, "&lt;="&amp;DATE($A8,12,31))</f>
        <v>6</v>
      </c>
      <c r="DI8">
        <f>SUMIFS(Lapse_data!DI:DI,
        Lapse_data!$A:$A, "&gt;="&amp;DATE($A8,1,1),
        Lapse_data!$A:$A, "&lt;="&amp;DATE($A8,12,31))</f>
        <v>9</v>
      </c>
      <c r="DJ8">
        <f>SUMIFS(Lapse_data!DJ:DJ,
        Lapse_data!$A:$A, "&gt;="&amp;DATE($A8,1,1),
        Lapse_data!$A:$A, "&lt;="&amp;DATE($A8,12,31))</f>
        <v>6</v>
      </c>
      <c r="DK8">
        <f>SUMIFS(Lapse_data!DK:DK,
        Lapse_data!$A:$A, "&gt;="&amp;DATE($A8,1,1),
        Lapse_data!$A:$A, "&lt;="&amp;DATE($A8,12,31))</f>
        <v>6</v>
      </c>
      <c r="DL8">
        <f>SUMIFS(Lapse_data!DL:DL,
        Lapse_data!$A:$A, "&gt;="&amp;DATE($A8,1,1),
        Lapse_data!$A:$A, "&lt;="&amp;DATE($A8,12,31))</f>
        <v>3</v>
      </c>
      <c r="DM8">
        <f>SUMIFS(Lapse_data!DM:DM,
        Lapse_data!$A:$A, "&gt;="&amp;DATE($A8,1,1),
        Lapse_data!$A:$A, "&lt;="&amp;DATE($A8,12,31))</f>
        <v>3</v>
      </c>
      <c r="DN8">
        <f>SUMIFS(Lapse_data!DN:DN,
        Lapse_data!$A:$A, "&gt;="&amp;DATE($A8,1,1),
        Lapse_data!$A:$A, "&lt;="&amp;DATE($A8,12,31))</f>
        <v>3</v>
      </c>
      <c r="DO8">
        <f>SUMIFS(Lapse_data!DO:DO,
        Lapse_data!$A:$A, "&gt;="&amp;DATE($A8,1,1),
        Lapse_data!$A:$A, "&lt;="&amp;DATE($A8,12,31))</f>
        <v>0</v>
      </c>
      <c r="DP8">
        <f>SUMIFS(Lapse_data!DP:DP,
        Lapse_data!$A:$A, "&gt;="&amp;DATE($A8,1,1),
        Lapse_data!$A:$A, "&lt;="&amp;DATE($A8,12,31))</f>
        <v>0</v>
      </c>
      <c r="DQ8">
        <f>SUMIFS(Lapse_data!DQ:DQ,
        Lapse_data!$A:$A, "&gt;="&amp;DATE($A8,1,1),
        Lapse_data!$A:$A, "&lt;="&amp;DATE($A8,12,31))</f>
        <v>1</v>
      </c>
    </row>
    <row r="9" spans="1:121" x14ac:dyDescent="0.35">
      <c r="A9" s="10">
        <v>2016</v>
      </c>
      <c r="B9">
        <f>SUMIFS(Lapse_data!B:B,
        Lapse_data!$A:$A, "&gt;="&amp;DATE($A9,1,1),
        Lapse_data!$A:$A, "&lt;="&amp;DATE($A9,12,31))</f>
        <v>569</v>
      </c>
      <c r="C9">
        <f>SUMIFS(Lapse_data!C:C,
        Lapse_data!$A:$A, "&gt;="&amp;DATE($A9,1,1),
        Lapse_data!$A:$A, "&lt;="&amp;DATE($A9,12,31))</f>
        <v>890</v>
      </c>
      <c r="D9">
        <f>SUMIFS(Lapse_data!D:D,
        Lapse_data!$A:$A, "&gt;="&amp;DATE($A9,1,1),
        Lapse_data!$A:$A, "&lt;="&amp;DATE($A9,12,31))</f>
        <v>624</v>
      </c>
      <c r="E9">
        <f>SUMIFS(Lapse_data!E:E,
        Lapse_data!$A:$A, "&gt;="&amp;DATE($A9,1,1),
        Lapse_data!$A:$A, "&lt;="&amp;DATE($A9,12,31))</f>
        <v>580</v>
      </c>
      <c r="F9">
        <f>SUMIFS(Lapse_data!F:F,
        Lapse_data!$A:$A, "&gt;="&amp;DATE($A9,1,1),
        Lapse_data!$A:$A, "&lt;="&amp;DATE($A9,12,31))</f>
        <v>418</v>
      </c>
      <c r="G9">
        <f>SUMIFS(Lapse_data!G:G,
        Lapse_data!$A:$A, "&gt;="&amp;DATE($A9,1,1),
        Lapse_data!$A:$A, "&lt;="&amp;DATE($A9,12,31))</f>
        <v>379</v>
      </c>
      <c r="H9">
        <f>SUMIFS(Lapse_data!H:H,
        Lapse_data!$A:$A, "&gt;="&amp;DATE($A9,1,1),
        Lapse_data!$A:$A, "&lt;="&amp;DATE($A9,12,31))</f>
        <v>352</v>
      </c>
      <c r="I9">
        <f>SUMIFS(Lapse_data!I:I,
        Lapse_data!$A:$A, "&gt;="&amp;DATE($A9,1,1),
        Lapse_data!$A:$A, "&lt;="&amp;DATE($A9,12,31))</f>
        <v>268</v>
      </c>
      <c r="J9">
        <f>SUMIFS(Lapse_data!J:J,
        Lapse_data!$A:$A, "&gt;="&amp;DATE($A9,1,1),
        Lapse_data!$A:$A, "&lt;="&amp;DATE($A9,12,31))</f>
        <v>228</v>
      </c>
      <c r="K9">
        <f>SUMIFS(Lapse_data!K:K,
        Lapse_data!$A:$A, "&gt;="&amp;DATE($A9,1,1),
        Lapse_data!$A:$A, "&lt;="&amp;DATE($A9,12,31))</f>
        <v>219</v>
      </c>
      <c r="L9">
        <f>SUMIFS(Lapse_data!L:L,
        Lapse_data!$A:$A, "&gt;="&amp;DATE($A9,1,1),
        Lapse_data!$A:$A, "&lt;="&amp;DATE($A9,12,31))</f>
        <v>214</v>
      </c>
      <c r="M9">
        <f>SUMIFS(Lapse_data!M:M,
        Lapse_data!$A:$A, "&gt;="&amp;DATE($A9,1,1),
        Lapse_data!$A:$A, "&lt;="&amp;DATE($A9,12,31))</f>
        <v>189</v>
      </c>
      <c r="N9">
        <f>SUMIFS(Lapse_data!N:N,
        Lapse_data!$A:$A, "&gt;="&amp;DATE($A9,1,1),
        Lapse_data!$A:$A, "&lt;="&amp;DATE($A9,12,31))</f>
        <v>162</v>
      </c>
      <c r="O9">
        <f>SUMIFS(Lapse_data!O:O,
        Lapse_data!$A:$A, "&gt;="&amp;DATE($A9,1,1),
        Lapse_data!$A:$A, "&lt;="&amp;DATE($A9,12,31))</f>
        <v>159</v>
      </c>
      <c r="P9">
        <f>SUMIFS(Lapse_data!P:P,
        Lapse_data!$A:$A, "&gt;="&amp;DATE($A9,1,1),
        Lapse_data!$A:$A, "&lt;="&amp;DATE($A9,12,31))</f>
        <v>124</v>
      </c>
      <c r="Q9">
        <f>SUMIFS(Lapse_data!Q:Q,
        Lapse_data!$A:$A, "&gt;="&amp;DATE($A9,1,1),
        Lapse_data!$A:$A, "&lt;="&amp;DATE($A9,12,31))</f>
        <v>111</v>
      </c>
      <c r="R9">
        <f>SUMIFS(Lapse_data!R:R,
        Lapse_data!$A:$A, "&gt;="&amp;DATE($A9,1,1),
        Lapse_data!$A:$A, "&lt;="&amp;DATE($A9,12,31))</f>
        <v>105</v>
      </c>
      <c r="S9">
        <f>SUMIFS(Lapse_data!S:S,
        Lapse_data!$A:$A, "&gt;="&amp;DATE($A9,1,1),
        Lapse_data!$A:$A, "&lt;="&amp;DATE($A9,12,31))</f>
        <v>114</v>
      </c>
      <c r="T9">
        <f>SUMIFS(Lapse_data!T:T,
        Lapse_data!$A:$A, "&gt;="&amp;DATE($A9,1,1),
        Lapse_data!$A:$A, "&lt;="&amp;DATE($A9,12,31))</f>
        <v>111</v>
      </c>
      <c r="U9">
        <f>SUMIFS(Lapse_data!U:U,
        Lapse_data!$A:$A, "&gt;="&amp;DATE($A9,1,1),
        Lapse_data!$A:$A, "&lt;="&amp;DATE($A9,12,31))</f>
        <v>103</v>
      </c>
      <c r="V9">
        <f>SUMIFS(Lapse_data!V:V,
        Lapse_data!$A:$A, "&gt;="&amp;DATE($A9,1,1),
        Lapse_data!$A:$A, "&lt;="&amp;DATE($A9,12,31))</f>
        <v>89</v>
      </c>
      <c r="W9">
        <f>SUMIFS(Lapse_data!W:W,
        Lapse_data!$A:$A, "&gt;="&amp;DATE($A9,1,1),
        Lapse_data!$A:$A, "&lt;="&amp;DATE($A9,12,31))</f>
        <v>87</v>
      </c>
      <c r="X9">
        <f>SUMIFS(Lapse_data!X:X,
        Lapse_data!$A:$A, "&gt;="&amp;DATE($A9,1,1),
        Lapse_data!$A:$A, "&lt;="&amp;DATE($A9,12,31))</f>
        <v>95</v>
      </c>
      <c r="Y9">
        <f>SUMIFS(Lapse_data!Y:Y,
        Lapse_data!$A:$A, "&gt;="&amp;DATE($A9,1,1),
        Lapse_data!$A:$A, "&lt;="&amp;DATE($A9,12,31))</f>
        <v>82</v>
      </c>
      <c r="Z9">
        <f>SUMIFS(Lapse_data!Z:Z,
        Lapse_data!$A:$A, "&gt;="&amp;DATE($A9,1,1),
        Lapse_data!$A:$A, "&lt;="&amp;DATE($A9,12,31))</f>
        <v>78</v>
      </c>
      <c r="AA9">
        <f>SUMIFS(Lapse_data!AA:AA,
        Lapse_data!$A:$A, "&gt;="&amp;DATE($A9,1,1),
        Lapse_data!$A:$A, "&lt;="&amp;DATE($A9,12,31))</f>
        <v>61</v>
      </c>
      <c r="AB9">
        <f>SUMIFS(Lapse_data!AB:AB,
        Lapse_data!$A:$A, "&gt;="&amp;DATE($A9,1,1),
        Lapse_data!$A:$A, "&lt;="&amp;DATE($A9,12,31))</f>
        <v>68</v>
      </c>
      <c r="AC9">
        <f>SUMIFS(Lapse_data!AC:AC,
        Lapse_data!$A:$A, "&gt;="&amp;DATE($A9,1,1),
        Lapse_data!$A:$A, "&lt;="&amp;DATE($A9,12,31))</f>
        <v>63</v>
      </c>
      <c r="AD9">
        <f>SUMIFS(Lapse_data!AD:AD,
        Lapse_data!$A:$A, "&gt;="&amp;DATE($A9,1,1),
        Lapse_data!$A:$A, "&lt;="&amp;DATE($A9,12,31))</f>
        <v>58</v>
      </c>
      <c r="AE9">
        <f>SUMIFS(Lapse_data!AE:AE,
        Lapse_data!$A:$A, "&gt;="&amp;DATE($A9,1,1),
        Lapse_data!$A:$A, "&lt;="&amp;DATE($A9,12,31))</f>
        <v>63</v>
      </c>
      <c r="AF9">
        <f>SUMIFS(Lapse_data!AF:AF,
        Lapse_data!$A:$A, "&gt;="&amp;DATE($A9,1,1),
        Lapse_data!$A:$A, "&lt;="&amp;DATE($A9,12,31))</f>
        <v>62</v>
      </c>
      <c r="AG9">
        <f>SUMIFS(Lapse_data!AG:AG,
        Lapse_data!$A:$A, "&gt;="&amp;DATE($A9,1,1),
        Lapse_data!$A:$A, "&lt;="&amp;DATE($A9,12,31))</f>
        <v>61</v>
      </c>
      <c r="AH9">
        <f>SUMIFS(Lapse_data!AH:AH,
        Lapse_data!$A:$A, "&gt;="&amp;DATE($A9,1,1),
        Lapse_data!$A:$A, "&lt;="&amp;DATE($A9,12,31))</f>
        <v>46</v>
      </c>
      <c r="AI9">
        <f>SUMIFS(Lapse_data!AI:AI,
        Lapse_data!$A:$A, "&gt;="&amp;DATE($A9,1,1),
        Lapse_data!$A:$A, "&lt;="&amp;DATE($A9,12,31))</f>
        <v>46</v>
      </c>
      <c r="AJ9">
        <f>SUMIFS(Lapse_data!AJ:AJ,
        Lapse_data!$A:$A, "&gt;="&amp;DATE($A9,1,1),
        Lapse_data!$A:$A, "&lt;="&amp;DATE($A9,12,31))</f>
        <v>45</v>
      </c>
      <c r="AK9">
        <f>SUMIFS(Lapse_data!AK:AK,
        Lapse_data!$A:$A, "&gt;="&amp;DATE($A9,1,1),
        Lapse_data!$A:$A, "&lt;="&amp;DATE($A9,12,31))</f>
        <v>51</v>
      </c>
      <c r="AL9">
        <f>SUMIFS(Lapse_data!AL:AL,
        Lapse_data!$A:$A, "&gt;="&amp;DATE($A9,1,1),
        Lapse_data!$A:$A, "&lt;="&amp;DATE($A9,12,31))</f>
        <v>59</v>
      </c>
      <c r="AM9">
        <f>SUMIFS(Lapse_data!AM:AM,
        Lapse_data!$A:$A, "&gt;="&amp;DATE($A9,1,1),
        Lapse_data!$A:$A, "&lt;="&amp;DATE($A9,12,31))</f>
        <v>44</v>
      </c>
      <c r="AN9">
        <f>SUMIFS(Lapse_data!AN:AN,
        Lapse_data!$A:$A, "&gt;="&amp;DATE($A9,1,1),
        Lapse_data!$A:$A, "&lt;="&amp;DATE($A9,12,31))</f>
        <v>39</v>
      </c>
      <c r="AO9">
        <f>SUMIFS(Lapse_data!AO:AO,
        Lapse_data!$A:$A, "&gt;="&amp;DATE($A9,1,1),
        Lapse_data!$A:$A, "&lt;="&amp;DATE($A9,12,31))</f>
        <v>39</v>
      </c>
      <c r="AP9">
        <f>SUMIFS(Lapse_data!AP:AP,
        Lapse_data!$A:$A, "&gt;="&amp;DATE($A9,1,1),
        Lapse_data!$A:$A, "&lt;="&amp;DATE($A9,12,31))</f>
        <v>44</v>
      </c>
      <c r="AQ9">
        <f>SUMIFS(Lapse_data!AQ:AQ,
        Lapse_data!$A:$A, "&gt;="&amp;DATE($A9,1,1),
        Lapse_data!$A:$A, "&lt;="&amp;DATE($A9,12,31))</f>
        <v>38</v>
      </c>
      <c r="AR9">
        <f>SUMIFS(Lapse_data!AR:AR,
        Lapse_data!$A:$A, "&gt;="&amp;DATE($A9,1,1),
        Lapse_data!$A:$A, "&lt;="&amp;DATE($A9,12,31))</f>
        <v>21</v>
      </c>
      <c r="AS9">
        <f>SUMIFS(Lapse_data!AS:AS,
        Lapse_data!$A:$A, "&gt;="&amp;DATE($A9,1,1),
        Lapse_data!$A:$A, "&lt;="&amp;DATE($A9,12,31))</f>
        <v>31</v>
      </c>
      <c r="AT9">
        <f>SUMIFS(Lapse_data!AT:AT,
        Lapse_data!$A:$A, "&gt;="&amp;DATE($A9,1,1),
        Lapse_data!$A:$A, "&lt;="&amp;DATE($A9,12,31))</f>
        <v>30</v>
      </c>
      <c r="AU9">
        <f>SUMIFS(Lapse_data!AU:AU,
        Lapse_data!$A:$A, "&gt;="&amp;DATE($A9,1,1),
        Lapse_data!$A:$A, "&lt;="&amp;DATE($A9,12,31))</f>
        <v>30</v>
      </c>
      <c r="AV9">
        <f>SUMIFS(Lapse_data!AV:AV,
        Lapse_data!$A:$A, "&gt;="&amp;DATE($A9,1,1),
        Lapse_data!$A:$A, "&lt;="&amp;DATE($A9,12,31))</f>
        <v>30</v>
      </c>
      <c r="AW9">
        <f>SUMIFS(Lapse_data!AW:AW,
        Lapse_data!$A:$A, "&gt;="&amp;DATE($A9,1,1),
        Lapse_data!$A:$A, "&lt;="&amp;DATE($A9,12,31))</f>
        <v>41</v>
      </c>
      <c r="AX9">
        <f>SUMIFS(Lapse_data!AX:AX,
        Lapse_data!$A:$A, "&gt;="&amp;DATE($A9,1,1),
        Lapse_data!$A:$A, "&lt;="&amp;DATE($A9,12,31))</f>
        <v>35</v>
      </c>
      <c r="AY9">
        <f>SUMIFS(Lapse_data!AY:AY,
        Lapse_data!$A:$A, "&gt;="&amp;DATE($A9,1,1),
        Lapse_data!$A:$A, "&lt;="&amp;DATE($A9,12,31))</f>
        <v>34</v>
      </c>
      <c r="AZ9">
        <f>SUMIFS(Lapse_data!AZ:AZ,
        Lapse_data!$A:$A, "&gt;="&amp;DATE($A9,1,1),
        Lapse_data!$A:$A, "&lt;="&amp;DATE($A9,12,31))</f>
        <v>29</v>
      </c>
      <c r="BA9">
        <f>SUMIFS(Lapse_data!BA:BA,
        Lapse_data!$A:$A, "&gt;="&amp;DATE($A9,1,1),
        Lapse_data!$A:$A, "&lt;="&amp;DATE($A9,12,31))</f>
        <v>27</v>
      </c>
      <c r="BB9">
        <f>SUMIFS(Lapse_data!BB:BB,
        Lapse_data!$A:$A, "&gt;="&amp;DATE($A9,1,1),
        Lapse_data!$A:$A, "&lt;="&amp;DATE($A9,12,31))</f>
        <v>30</v>
      </c>
      <c r="BC9">
        <f>SUMIFS(Lapse_data!BC:BC,
        Lapse_data!$A:$A, "&gt;="&amp;DATE($A9,1,1),
        Lapse_data!$A:$A, "&lt;="&amp;DATE($A9,12,31))</f>
        <v>25</v>
      </c>
      <c r="BD9">
        <f>SUMIFS(Lapse_data!BD:BD,
        Lapse_data!$A:$A, "&gt;="&amp;DATE($A9,1,1),
        Lapse_data!$A:$A, "&lt;="&amp;DATE($A9,12,31))</f>
        <v>32</v>
      </c>
      <c r="BE9">
        <f>SUMIFS(Lapse_data!BE:BE,
        Lapse_data!$A:$A, "&gt;="&amp;DATE($A9,1,1),
        Lapse_data!$A:$A, "&lt;="&amp;DATE($A9,12,31))</f>
        <v>23</v>
      </c>
      <c r="BF9">
        <f>SUMIFS(Lapse_data!BF:BF,
        Lapse_data!$A:$A, "&gt;="&amp;DATE($A9,1,1),
        Lapse_data!$A:$A, "&lt;="&amp;DATE($A9,12,31))</f>
        <v>16</v>
      </c>
      <c r="BG9">
        <f>SUMIFS(Lapse_data!BG:BG,
        Lapse_data!$A:$A, "&gt;="&amp;DATE($A9,1,1),
        Lapse_data!$A:$A, "&lt;="&amp;DATE($A9,12,31))</f>
        <v>17</v>
      </c>
      <c r="BH9">
        <f>SUMIFS(Lapse_data!BH:BH,
        Lapse_data!$A:$A, "&gt;="&amp;DATE($A9,1,1),
        Lapse_data!$A:$A, "&lt;="&amp;DATE($A9,12,31))</f>
        <v>28</v>
      </c>
      <c r="BI9">
        <f>SUMIFS(Lapse_data!BI:BI,
        Lapse_data!$A:$A, "&gt;="&amp;DATE($A9,1,1),
        Lapse_data!$A:$A, "&lt;="&amp;DATE($A9,12,31))</f>
        <v>25</v>
      </c>
      <c r="BJ9">
        <f>SUMIFS(Lapse_data!BJ:BJ,
        Lapse_data!$A:$A, "&gt;="&amp;DATE($A9,1,1),
        Lapse_data!$A:$A, "&lt;="&amp;DATE($A9,12,31))</f>
        <v>18</v>
      </c>
      <c r="BK9">
        <f>SUMIFS(Lapse_data!BK:BK,
        Lapse_data!$A:$A, "&gt;="&amp;DATE($A9,1,1),
        Lapse_data!$A:$A, "&lt;="&amp;DATE($A9,12,31))</f>
        <v>14</v>
      </c>
      <c r="BL9">
        <f>SUMIFS(Lapse_data!BL:BL,
        Lapse_data!$A:$A, "&gt;="&amp;DATE($A9,1,1),
        Lapse_data!$A:$A, "&lt;="&amp;DATE($A9,12,31))</f>
        <v>19</v>
      </c>
      <c r="BM9">
        <f>SUMIFS(Lapse_data!BM:BM,
        Lapse_data!$A:$A, "&gt;="&amp;DATE($A9,1,1),
        Lapse_data!$A:$A, "&lt;="&amp;DATE($A9,12,31))</f>
        <v>13</v>
      </c>
      <c r="BN9">
        <f>SUMIFS(Lapse_data!BN:BN,
        Lapse_data!$A:$A, "&gt;="&amp;DATE($A9,1,1),
        Lapse_data!$A:$A, "&lt;="&amp;DATE($A9,12,31))</f>
        <v>20</v>
      </c>
      <c r="BO9">
        <f>SUMIFS(Lapse_data!BO:BO,
        Lapse_data!$A:$A, "&gt;="&amp;DATE($A9,1,1),
        Lapse_data!$A:$A, "&lt;="&amp;DATE($A9,12,31))</f>
        <v>19</v>
      </c>
      <c r="BP9">
        <f>SUMIFS(Lapse_data!BP:BP,
        Lapse_data!$A:$A, "&gt;="&amp;DATE($A9,1,1),
        Lapse_data!$A:$A, "&lt;="&amp;DATE($A9,12,31))</f>
        <v>8</v>
      </c>
      <c r="BQ9">
        <f>SUMIFS(Lapse_data!BQ:BQ,
        Lapse_data!$A:$A, "&gt;="&amp;DATE($A9,1,1),
        Lapse_data!$A:$A, "&lt;="&amp;DATE($A9,12,31))</f>
        <v>23</v>
      </c>
      <c r="BR9">
        <f>SUMIFS(Lapse_data!BR:BR,
        Lapse_data!$A:$A, "&gt;="&amp;DATE($A9,1,1),
        Lapse_data!$A:$A, "&lt;="&amp;DATE($A9,12,31))</f>
        <v>25</v>
      </c>
      <c r="BS9">
        <f>SUMIFS(Lapse_data!BS:BS,
        Lapse_data!$A:$A, "&gt;="&amp;DATE($A9,1,1),
        Lapse_data!$A:$A, "&lt;="&amp;DATE($A9,12,31))</f>
        <v>17</v>
      </c>
      <c r="BT9">
        <f>SUMIFS(Lapse_data!BT:BT,
        Lapse_data!$A:$A, "&gt;="&amp;DATE($A9,1,1),
        Lapse_data!$A:$A, "&lt;="&amp;DATE($A9,12,31))</f>
        <v>26</v>
      </c>
      <c r="BU9">
        <f>SUMIFS(Lapse_data!BU:BU,
        Lapse_data!$A:$A, "&gt;="&amp;DATE($A9,1,1),
        Lapse_data!$A:$A, "&lt;="&amp;DATE($A9,12,31))</f>
        <v>33</v>
      </c>
      <c r="BV9">
        <f>SUMIFS(Lapse_data!BV:BV,
        Lapse_data!$A:$A, "&gt;="&amp;DATE($A9,1,1),
        Lapse_data!$A:$A, "&lt;="&amp;DATE($A9,12,31))</f>
        <v>19</v>
      </c>
      <c r="BW9">
        <f>SUMIFS(Lapse_data!BW:BW,
        Lapse_data!$A:$A, "&gt;="&amp;DATE($A9,1,1),
        Lapse_data!$A:$A, "&lt;="&amp;DATE($A9,12,31))</f>
        <v>14</v>
      </c>
      <c r="BX9">
        <f>SUMIFS(Lapse_data!BX:BX,
        Lapse_data!$A:$A, "&gt;="&amp;DATE($A9,1,1),
        Lapse_data!$A:$A, "&lt;="&amp;DATE($A9,12,31))</f>
        <v>15</v>
      </c>
      <c r="BY9">
        <f>SUMIFS(Lapse_data!BY:BY,
        Lapse_data!$A:$A, "&gt;="&amp;DATE($A9,1,1),
        Lapse_data!$A:$A, "&lt;="&amp;DATE($A9,12,31))</f>
        <v>20</v>
      </c>
      <c r="BZ9">
        <f>SUMIFS(Lapse_data!BZ:BZ,
        Lapse_data!$A:$A, "&gt;="&amp;DATE($A9,1,1),
        Lapse_data!$A:$A, "&lt;="&amp;DATE($A9,12,31))</f>
        <v>13</v>
      </c>
      <c r="CA9">
        <f>SUMIFS(Lapse_data!CA:CA,
        Lapse_data!$A:$A, "&gt;="&amp;DATE($A9,1,1),
        Lapse_data!$A:$A, "&lt;="&amp;DATE($A9,12,31))</f>
        <v>11</v>
      </c>
      <c r="CB9">
        <f>SUMIFS(Lapse_data!CB:CB,
        Lapse_data!$A:$A, "&gt;="&amp;DATE($A9,1,1),
        Lapse_data!$A:$A, "&lt;="&amp;DATE($A9,12,31))</f>
        <v>14</v>
      </c>
      <c r="CC9">
        <f>SUMIFS(Lapse_data!CC:CC,
        Lapse_data!$A:$A, "&gt;="&amp;DATE($A9,1,1),
        Lapse_data!$A:$A, "&lt;="&amp;DATE($A9,12,31))</f>
        <v>9</v>
      </c>
      <c r="CD9">
        <f>SUMIFS(Lapse_data!CD:CD,
        Lapse_data!$A:$A, "&gt;="&amp;DATE($A9,1,1),
        Lapse_data!$A:$A, "&lt;="&amp;DATE($A9,12,31))</f>
        <v>11</v>
      </c>
      <c r="CE9">
        <f>SUMIFS(Lapse_data!CE:CE,
        Lapse_data!$A:$A, "&gt;="&amp;DATE($A9,1,1),
        Lapse_data!$A:$A, "&lt;="&amp;DATE($A9,12,31))</f>
        <v>16</v>
      </c>
      <c r="CF9">
        <f>SUMIFS(Lapse_data!CF:CF,
        Lapse_data!$A:$A, "&gt;="&amp;DATE($A9,1,1),
        Lapse_data!$A:$A, "&lt;="&amp;DATE($A9,12,31))</f>
        <v>12</v>
      </c>
      <c r="CG9">
        <f>SUMIFS(Lapse_data!CG:CG,
        Lapse_data!$A:$A, "&gt;="&amp;DATE($A9,1,1),
        Lapse_data!$A:$A, "&lt;="&amp;DATE($A9,12,31))</f>
        <v>11</v>
      </c>
      <c r="CH9">
        <f>SUMIFS(Lapse_data!CH:CH,
        Lapse_data!$A:$A, "&gt;="&amp;DATE($A9,1,1),
        Lapse_data!$A:$A, "&lt;="&amp;DATE($A9,12,31))</f>
        <v>8</v>
      </c>
      <c r="CI9">
        <f>SUMIFS(Lapse_data!CI:CI,
        Lapse_data!$A:$A, "&gt;="&amp;DATE($A9,1,1),
        Lapse_data!$A:$A, "&lt;="&amp;DATE($A9,12,31))</f>
        <v>9</v>
      </c>
      <c r="CJ9">
        <f>SUMIFS(Lapse_data!CJ:CJ,
        Lapse_data!$A:$A, "&gt;="&amp;DATE($A9,1,1),
        Lapse_data!$A:$A, "&lt;="&amp;DATE($A9,12,31))</f>
        <v>15</v>
      </c>
      <c r="CK9">
        <f>SUMIFS(Lapse_data!CK:CK,
        Lapse_data!$A:$A, "&gt;="&amp;DATE($A9,1,1),
        Lapse_data!$A:$A, "&lt;="&amp;DATE($A9,12,31))</f>
        <v>12</v>
      </c>
      <c r="CL9">
        <f>SUMIFS(Lapse_data!CL:CL,
        Lapse_data!$A:$A, "&gt;="&amp;DATE($A9,1,1),
        Lapse_data!$A:$A, "&lt;="&amp;DATE($A9,12,31))</f>
        <v>10</v>
      </c>
      <c r="CM9">
        <f>SUMIFS(Lapse_data!CM:CM,
        Lapse_data!$A:$A, "&gt;="&amp;DATE($A9,1,1),
        Lapse_data!$A:$A, "&lt;="&amp;DATE($A9,12,31))</f>
        <v>7</v>
      </c>
      <c r="CN9">
        <f>SUMIFS(Lapse_data!CN:CN,
        Lapse_data!$A:$A, "&gt;="&amp;DATE($A9,1,1),
        Lapse_data!$A:$A, "&lt;="&amp;DATE($A9,12,31))</f>
        <v>13</v>
      </c>
      <c r="CO9">
        <f>SUMIFS(Lapse_data!CO:CO,
        Lapse_data!$A:$A, "&gt;="&amp;DATE($A9,1,1),
        Lapse_data!$A:$A, "&lt;="&amp;DATE($A9,12,31))</f>
        <v>7</v>
      </c>
      <c r="CP9">
        <f>SUMIFS(Lapse_data!CP:CP,
        Lapse_data!$A:$A, "&gt;="&amp;DATE($A9,1,1),
        Lapse_data!$A:$A, "&lt;="&amp;DATE($A9,12,31))</f>
        <v>12</v>
      </c>
      <c r="CQ9">
        <f>SUMIFS(Lapse_data!CQ:CQ,
        Lapse_data!$A:$A, "&gt;="&amp;DATE($A9,1,1),
        Lapse_data!$A:$A, "&lt;="&amp;DATE($A9,12,31))</f>
        <v>4</v>
      </c>
      <c r="CR9">
        <f>SUMIFS(Lapse_data!CR:CR,
        Lapse_data!$A:$A, "&gt;="&amp;DATE($A9,1,1),
        Lapse_data!$A:$A, "&lt;="&amp;DATE($A9,12,31))</f>
        <v>5</v>
      </c>
      <c r="CS9">
        <f>SUMIFS(Lapse_data!CS:CS,
        Lapse_data!$A:$A, "&gt;="&amp;DATE($A9,1,1),
        Lapse_data!$A:$A, "&lt;="&amp;DATE($A9,12,31))</f>
        <v>14</v>
      </c>
      <c r="CT9">
        <f>SUMIFS(Lapse_data!CT:CT,
        Lapse_data!$A:$A, "&gt;="&amp;DATE($A9,1,1),
        Lapse_data!$A:$A, "&lt;="&amp;DATE($A9,12,31))</f>
        <v>12</v>
      </c>
      <c r="CU9">
        <f>SUMIFS(Lapse_data!CU:CU,
        Lapse_data!$A:$A, "&gt;="&amp;DATE($A9,1,1),
        Lapse_data!$A:$A, "&lt;="&amp;DATE($A9,12,31))</f>
        <v>8</v>
      </c>
      <c r="CV9">
        <f>SUMIFS(Lapse_data!CV:CV,
        Lapse_data!$A:$A, "&gt;="&amp;DATE($A9,1,1),
        Lapse_data!$A:$A, "&lt;="&amp;DATE($A9,12,31))</f>
        <v>10</v>
      </c>
      <c r="CW9">
        <f>SUMIFS(Lapse_data!CW:CW,
        Lapse_data!$A:$A, "&gt;="&amp;DATE($A9,1,1),
        Lapse_data!$A:$A, "&lt;="&amp;DATE($A9,12,31))</f>
        <v>10</v>
      </c>
      <c r="CX9">
        <f>SUMIFS(Lapse_data!CX:CX,
        Lapse_data!$A:$A, "&gt;="&amp;DATE($A9,1,1),
        Lapse_data!$A:$A, "&lt;="&amp;DATE($A9,12,31))</f>
        <v>6</v>
      </c>
      <c r="CY9">
        <f>SUMIFS(Lapse_data!CY:CY,
        Lapse_data!$A:$A, "&gt;="&amp;DATE($A9,1,1),
        Lapse_data!$A:$A, "&lt;="&amp;DATE($A9,12,31))</f>
        <v>6</v>
      </c>
      <c r="CZ9">
        <f>SUMIFS(Lapse_data!CZ:CZ,
        Lapse_data!$A:$A, "&gt;="&amp;DATE($A9,1,1),
        Lapse_data!$A:$A, "&lt;="&amp;DATE($A9,12,31))</f>
        <v>3</v>
      </c>
      <c r="DA9">
        <f>SUMIFS(Lapse_data!DA:DA,
        Lapse_data!$A:$A, "&gt;="&amp;DATE($A9,1,1),
        Lapse_data!$A:$A, "&lt;="&amp;DATE($A9,12,31))</f>
        <v>1</v>
      </c>
      <c r="DB9">
        <f>SUMIFS(Lapse_data!DB:DB,
        Lapse_data!$A:$A, "&gt;="&amp;DATE($A9,1,1),
        Lapse_data!$A:$A, "&lt;="&amp;DATE($A9,12,31))</f>
        <v>1</v>
      </c>
      <c r="DC9">
        <f>SUMIFS(Lapse_data!DC:DC,
        Lapse_data!$A:$A, "&gt;="&amp;DATE($A9,1,1),
        Lapse_data!$A:$A, "&lt;="&amp;DATE($A9,12,31))</f>
        <v>0</v>
      </c>
      <c r="DD9">
        <f>SUMIFS(Lapse_data!DD:DD,
        Lapse_data!$A:$A, "&gt;="&amp;DATE($A9,1,1),
        Lapse_data!$A:$A, "&lt;="&amp;DATE($A9,12,31))</f>
        <v>1</v>
      </c>
      <c r="DE9">
        <f>SUMIFS(Lapse_data!DE:DE,
        Lapse_data!$A:$A, "&gt;="&amp;DATE($A9,1,1),
        Lapse_data!$A:$A, "&lt;="&amp;DATE($A9,12,31))</f>
        <v>1</v>
      </c>
      <c r="DF9">
        <f>SUMIFS(Lapse_data!DF:DF,
        Lapse_data!$A:$A, "&gt;="&amp;DATE($A9,1,1),
        Lapse_data!$A:$A, "&lt;="&amp;DATE($A9,12,31))</f>
        <v>0</v>
      </c>
      <c r="DG9">
        <f>SUMIFS(Lapse_data!DG:DG,
        Lapse_data!$A:$A, "&gt;="&amp;DATE($A9,1,1),
        Lapse_data!$A:$A, "&lt;="&amp;DATE($A9,12,31))</f>
        <v>0</v>
      </c>
      <c r="DH9">
        <f>SUMIFS(Lapse_data!DH:DH,
        Lapse_data!$A:$A, "&gt;="&amp;DATE($A9,1,1),
        Lapse_data!$A:$A, "&lt;="&amp;DATE($A9,12,31))</f>
        <v>0</v>
      </c>
      <c r="DI9">
        <f>SUMIFS(Lapse_data!DI:DI,
        Lapse_data!$A:$A, "&gt;="&amp;DATE($A9,1,1),
        Lapse_data!$A:$A, "&lt;="&amp;DATE($A9,12,31))</f>
        <v>0</v>
      </c>
      <c r="DJ9">
        <f>SUMIFS(Lapse_data!DJ:DJ,
        Lapse_data!$A:$A, "&gt;="&amp;DATE($A9,1,1),
        Lapse_data!$A:$A, "&lt;="&amp;DATE($A9,12,31))</f>
        <v>0</v>
      </c>
      <c r="DK9">
        <f>SUMIFS(Lapse_data!DK:DK,
        Lapse_data!$A:$A, "&gt;="&amp;DATE($A9,1,1),
        Lapse_data!$A:$A, "&lt;="&amp;DATE($A9,12,31))</f>
        <v>0</v>
      </c>
      <c r="DL9">
        <f>SUMIFS(Lapse_data!DL:DL,
        Lapse_data!$A:$A, "&gt;="&amp;DATE($A9,1,1),
        Lapse_data!$A:$A, "&lt;="&amp;DATE($A9,12,31))</f>
        <v>0</v>
      </c>
      <c r="DM9">
        <f>SUMIFS(Lapse_data!DM:DM,
        Lapse_data!$A:$A, "&gt;="&amp;DATE($A9,1,1),
        Lapse_data!$A:$A, "&lt;="&amp;DATE($A9,12,31))</f>
        <v>0</v>
      </c>
      <c r="DN9">
        <f>SUMIFS(Lapse_data!DN:DN,
        Lapse_data!$A:$A, "&gt;="&amp;DATE($A9,1,1),
        Lapse_data!$A:$A, "&lt;="&amp;DATE($A9,12,31))</f>
        <v>0</v>
      </c>
      <c r="DO9">
        <f>SUMIFS(Lapse_data!DO:DO,
        Lapse_data!$A:$A, "&gt;="&amp;DATE($A9,1,1),
        Lapse_data!$A:$A, "&lt;="&amp;DATE($A9,12,31))</f>
        <v>0</v>
      </c>
      <c r="DP9">
        <f>SUMIFS(Lapse_data!DP:DP,
        Lapse_data!$A:$A, "&gt;="&amp;DATE($A9,1,1),
        Lapse_data!$A:$A, "&lt;="&amp;DATE($A9,12,31))</f>
        <v>0</v>
      </c>
      <c r="DQ9">
        <f>SUMIFS(Lapse_data!DQ:DQ,
        Lapse_data!$A:$A, "&gt;="&amp;DATE($A9,1,1),
        Lapse_data!$A:$A, "&lt;="&amp;DATE($A9,12,31))</f>
        <v>0</v>
      </c>
    </row>
    <row r="10" spans="1:121" x14ac:dyDescent="0.35">
      <c r="A10" s="10">
        <v>2017</v>
      </c>
      <c r="B10">
        <f>SUMIFS(Lapse_data!B:B,
        Lapse_data!$A:$A, "&gt;="&amp;DATE($A10,1,1),
        Lapse_data!$A:$A, "&lt;="&amp;DATE($A10,12,31))</f>
        <v>822</v>
      </c>
      <c r="C10">
        <f>SUMIFS(Lapse_data!C:C,
        Lapse_data!$A:$A, "&gt;="&amp;DATE($A10,1,1),
        Lapse_data!$A:$A, "&lt;="&amp;DATE($A10,12,31))</f>
        <v>1350</v>
      </c>
      <c r="D10">
        <f>SUMIFS(Lapse_data!D:D,
        Lapse_data!$A:$A, "&gt;="&amp;DATE($A10,1,1),
        Lapse_data!$A:$A, "&lt;="&amp;DATE($A10,12,31))</f>
        <v>1111</v>
      </c>
      <c r="E10">
        <f>SUMIFS(Lapse_data!E:E,
        Lapse_data!$A:$A, "&gt;="&amp;DATE($A10,1,1),
        Lapse_data!$A:$A, "&lt;="&amp;DATE($A10,12,31))</f>
        <v>930</v>
      </c>
      <c r="F10">
        <f>SUMIFS(Lapse_data!F:F,
        Lapse_data!$A:$A, "&gt;="&amp;DATE($A10,1,1),
        Lapse_data!$A:$A, "&lt;="&amp;DATE($A10,12,31))</f>
        <v>585</v>
      </c>
      <c r="G10">
        <f>SUMIFS(Lapse_data!G:G,
        Lapse_data!$A:$A, "&gt;="&amp;DATE($A10,1,1),
        Lapse_data!$A:$A, "&lt;="&amp;DATE($A10,12,31))</f>
        <v>473</v>
      </c>
      <c r="H10">
        <f>SUMIFS(Lapse_data!H:H,
        Lapse_data!$A:$A, "&gt;="&amp;DATE($A10,1,1),
        Lapse_data!$A:$A, "&lt;="&amp;DATE($A10,12,31))</f>
        <v>430</v>
      </c>
      <c r="I10">
        <f>SUMIFS(Lapse_data!I:I,
        Lapse_data!$A:$A, "&gt;="&amp;DATE($A10,1,1),
        Lapse_data!$A:$A, "&lt;="&amp;DATE($A10,12,31))</f>
        <v>364</v>
      </c>
      <c r="J10">
        <f>SUMIFS(Lapse_data!J:J,
        Lapse_data!$A:$A, "&gt;="&amp;DATE($A10,1,1),
        Lapse_data!$A:$A, "&lt;="&amp;DATE($A10,12,31))</f>
        <v>307</v>
      </c>
      <c r="K10">
        <f>SUMIFS(Lapse_data!K:K,
        Lapse_data!$A:$A, "&gt;="&amp;DATE($A10,1,1),
        Lapse_data!$A:$A, "&lt;="&amp;DATE($A10,12,31))</f>
        <v>335</v>
      </c>
      <c r="L10">
        <f>SUMIFS(Lapse_data!L:L,
        Lapse_data!$A:$A, "&gt;="&amp;DATE($A10,1,1),
        Lapse_data!$A:$A, "&lt;="&amp;DATE($A10,12,31))</f>
        <v>322</v>
      </c>
      <c r="M10">
        <f>SUMIFS(Lapse_data!M:M,
        Lapse_data!$A:$A, "&gt;="&amp;DATE($A10,1,1),
        Lapse_data!$A:$A, "&lt;="&amp;DATE($A10,12,31))</f>
        <v>271</v>
      </c>
      <c r="N10">
        <f>SUMIFS(Lapse_data!N:N,
        Lapse_data!$A:$A, "&gt;="&amp;DATE($A10,1,1),
        Lapse_data!$A:$A, "&lt;="&amp;DATE($A10,12,31))</f>
        <v>261</v>
      </c>
      <c r="O10">
        <f>SUMIFS(Lapse_data!O:O,
        Lapse_data!$A:$A, "&gt;="&amp;DATE($A10,1,1),
        Lapse_data!$A:$A, "&lt;="&amp;DATE($A10,12,31))</f>
        <v>231</v>
      </c>
      <c r="P10">
        <f>SUMIFS(Lapse_data!P:P,
        Lapse_data!$A:$A, "&gt;="&amp;DATE($A10,1,1),
        Lapse_data!$A:$A, "&lt;="&amp;DATE($A10,12,31))</f>
        <v>203</v>
      </c>
      <c r="Q10">
        <f>SUMIFS(Lapse_data!Q:Q,
        Lapse_data!$A:$A, "&gt;="&amp;DATE($A10,1,1),
        Lapse_data!$A:$A, "&lt;="&amp;DATE($A10,12,31))</f>
        <v>213</v>
      </c>
      <c r="R10">
        <f>SUMIFS(Lapse_data!R:R,
        Lapse_data!$A:$A, "&gt;="&amp;DATE($A10,1,1),
        Lapse_data!$A:$A, "&lt;="&amp;DATE($A10,12,31))</f>
        <v>184</v>
      </c>
      <c r="S10">
        <f>SUMIFS(Lapse_data!S:S,
        Lapse_data!$A:$A, "&gt;="&amp;DATE($A10,1,1),
        Lapse_data!$A:$A, "&lt;="&amp;DATE($A10,12,31))</f>
        <v>171</v>
      </c>
      <c r="T10">
        <f>SUMIFS(Lapse_data!T:T,
        Lapse_data!$A:$A, "&gt;="&amp;DATE($A10,1,1),
        Lapse_data!$A:$A, "&lt;="&amp;DATE($A10,12,31))</f>
        <v>133</v>
      </c>
      <c r="U10">
        <f>SUMIFS(Lapse_data!U:U,
        Lapse_data!$A:$A, "&gt;="&amp;DATE($A10,1,1),
        Lapse_data!$A:$A, "&lt;="&amp;DATE($A10,12,31))</f>
        <v>146</v>
      </c>
      <c r="V10">
        <f>SUMIFS(Lapse_data!V:V,
        Lapse_data!$A:$A, "&gt;="&amp;DATE($A10,1,1),
        Lapse_data!$A:$A, "&lt;="&amp;DATE($A10,12,31))</f>
        <v>99</v>
      </c>
      <c r="W10">
        <f>SUMIFS(Lapse_data!W:W,
        Lapse_data!$A:$A, "&gt;="&amp;DATE($A10,1,1),
        Lapse_data!$A:$A, "&lt;="&amp;DATE($A10,12,31))</f>
        <v>105</v>
      </c>
      <c r="X10">
        <f>SUMIFS(Lapse_data!X:X,
        Lapse_data!$A:$A, "&gt;="&amp;DATE($A10,1,1),
        Lapse_data!$A:$A, "&lt;="&amp;DATE($A10,12,31))</f>
        <v>111</v>
      </c>
      <c r="Y10">
        <f>SUMIFS(Lapse_data!Y:Y,
        Lapse_data!$A:$A, "&gt;="&amp;DATE($A10,1,1),
        Lapse_data!$A:$A, "&lt;="&amp;DATE($A10,12,31))</f>
        <v>84</v>
      </c>
      <c r="Z10">
        <f>SUMIFS(Lapse_data!Z:Z,
        Lapse_data!$A:$A, "&gt;="&amp;DATE($A10,1,1),
        Lapse_data!$A:$A, "&lt;="&amp;DATE($A10,12,31))</f>
        <v>106</v>
      </c>
      <c r="AA10">
        <f>SUMIFS(Lapse_data!AA:AA,
        Lapse_data!$A:$A, "&gt;="&amp;DATE($A10,1,1),
        Lapse_data!$A:$A, "&lt;="&amp;DATE($A10,12,31))</f>
        <v>92</v>
      </c>
      <c r="AB10">
        <f>SUMIFS(Lapse_data!AB:AB,
        Lapse_data!$A:$A, "&gt;="&amp;DATE($A10,1,1),
        Lapse_data!$A:$A, "&lt;="&amp;DATE($A10,12,31))</f>
        <v>79</v>
      </c>
      <c r="AC10">
        <f>SUMIFS(Lapse_data!AC:AC,
        Lapse_data!$A:$A, "&gt;="&amp;DATE($A10,1,1),
        Lapse_data!$A:$A, "&lt;="&amp;DATE($A10,12,31))</f>
        <v>79</v>
      </c>
      <c r="AD10">
        <f>SUMIFS(Lapse_data!AD:AD,
        Lapse_data!$A:$A, "&gt;="&amp;DATE($A10,1,1),
        Lapse_data!$A:$A, "&lt;="&amp;DATE($A10,12,31))</f>
        <v>86</v>
      </c>
      <c r="AE10">
        <f>SUMIFS(Lapse_data!AE:AE,
        Lapse_data!$A:$A, "&gt;="&amp;DATE($A10,1,1),
        Lapse_data!$A:$A, "&lt;="&amp;DATE($A10,12,31))</f>
        <v>81</v>
      </c>
      <c r="AF10">
        <f>SUMIFS(Lapse_data!AF:AF,
        Lapse_data!$A:$A, "&gt;="&amp;DATE($A10,1,1),
        Lapse_data!$A:$A, "&lt;="&amp;DATE($A10,12,31))</f>
        <v>70</v>
      </c>
      <c r="AG10">
        <f>SUMIFS(Lapse_data!AG:AG,
        Lapse_data!$A:$A, "&gt;="&amp;DATE($A10,1,1),
        Lapse_data!$A:$A, "&lt;="&amp;DATE($A10,12,31))</f>
        <v>85</v>
      </c>
      <c r="AH10">
        <f>SUMIFS(Lapse_data!AH:AH,
        Lapse_data!$A:$A, "&gt;="&amp;DATE($A10,1,1),
        Lapse_data!$A:$A, "&lt;="&amp;DATE($A10,12,31))</f>
        <v>45</v>
      </c>
      <c r="AI10">
        <f>SUMIFS(Lapse_data!AI:AI,
        Lapse_data!$A:$A, "&gt;="&amp;DATE($A10,1,1),
        Lapse_data!$A:$A, "&lt;="&amp;DATE($A10,12,31))</f>
        <v>61</v>
      </c>
      <c r="AJ10">
        <f>SUMIFS(Lapse_data!AJ:AJ,
        Lapse_data!$A:$A, "&gt;="&amp;DATE($A10,1,1),
        Lapse_data!$A:$A, "&lt;="&amp;DATE($A10,12,31))</f>
        <v>49</v>
      </c>
      <c r="AK10">
        <f>SUMIFS(Lapse_data!AK:AK,
        Lapse_data!$A:$A, "&gt;="&amp;DATE($A10,1,1),
        Lapse_data!$A:$A, "&lt;="&amp;DATE($A10,12,31))</f>
        <v>54</v>
      </c>
      <c r="AL10">
        <f>SUMIFS(Lapse_data!AL:AL,
        Lapse_data!$A:$A, "&gt;="&amp;DATE($A10,1,1),
        Lapse_data!$A:$A, "&lt;="&amp;DATE($A10,12,31))</f>
        <v>56</v>
      </c>
      <c r="AM10">
        <f>SUMIFS(Lapse_data!AM:AM,
        Lapse_data!$A:$A, "&gt;="&amp;DATE($A10,1,1),
        Lapse_data!$A:$A, "&lt;="&amp;DATE($A10,12,31))</f>
        <v>50</v>
      </c>
      <c r="AN10">
        <f>SUMIFS(Lapse_data!AN:AN,
        Lapse_data!$A:$A, "&gt;="&amp;DATE($A10,1,1),
        Lapse_data!$A:$A, "&lt;="&amp;DATE($A10,12,31))</f>
        <v>54</v>
      </c>
      <c r="AO10">
        <f>SUMIFS(Lapse_data!AO:AO,
        Lapse_data!$A:$A, "&gt;="&amp;DATE($A10,1,1),
        Lapse_data!$A:$A, "&lt;="&amp;DATE($A10,12,31))</f>
        <v>40</v>
      </c>
      <c r="AP10">
        <f>SUMIFS(Lapse_data!AP:AP,
        Lapse_data!$A:$A, "&gt;="&amp;DATE($A10,1,1),
        Lapse_data!$A:$A, "&lt;="&amp;DATE($A10,12,31))</f>
        <v>45</v>
      </c>
      <c r="AQ10">
        <f>SUMIFS(Lapse_data!AQ:AQ,
        Lapse_data!$A:$A, "&gt;="&amp;DATE($A10,1,1),
        Lapse_data!$A:$A, "&lt;="&amp;DATE($A10,12,31))</f>
        <v>49</v>
      </c>
      <c r="AR10">
        <f>SUMIFS(Lapse_data!AR:AR,
        Lapse_data!$A:$A, "&gt;="&amp;DATE($A10,1,1),
        Lapse_data!$A:$A, "&lt;="&amp;DATE($A10,12,31))</f>
        <v>51</v>
      </c>
      <c r="AS10">
        <f>SUMIFS(Lapse_data!AS:AS,
        Lapse_data!$A:$A, "&gt;="&amp;DATE($A10,1,1),
        Lapse_data!$A:$A, "&lt;="&amp;DATE($A10,12,31))</f>
        <v>34</v>
      </c>
      <c r="AT10">
        <f>SUMIFS(Lapse_data!AT:AT,
        Lapse_data!$A:$A, "&gt;="&amp;DATE($A10,1,1),
        Lapse_data!$A:$A, "&lt;="&amp;DATE($A10,12,31))</f>
        <v>28</v>
      </c>
      <c r="AU10">
        <f>SUMIFS(Lapse_data!AU:AU,
        Lapse_data!$A:$A, "&gt;="&amp;DATE($A10,1,1),
        Lapse_data!$A:$A, "&lt;="&amp;DATE($A10,12,31))</f>
        <v>35</v>
      </c>
      <c r="AV10">
        <f>SUMIFS(Lapse_data!AV:AV,
        Lapse_data!$A:$A, "&gt;="&amp;DATE($A10,1,1),
        Lapse_data!$A:$A, "&lt;="&amp;DATE($A10,12,31))</f>
        <v>41</v>
      </c>
      <c r="AW10">
        <f>SUMIFS(Lapse_data!AW:AW,
        Lapse_data!$A:$A, "&gt;="&amp;DATE($A10,1,1),
        Lapse_data!$A:$A, "&lt;="&amp;DATE($A10,12,31))</f>
        <v>25</v>
      </c>
      <c r="AX10">
        <f>SUMIFS(Lapse_data!AX:AX,
        Lapse_data!$A:$A, "&gt;="&amp;DATE($A10,1,1),
        Lapse_data!$A:$A, "&lt;="&amp;DATE($A10,12,31))</f>
        <v>38</v>
      </c>
      <c r="AY10">
        <f>SUMIFS(Lapse_data!AY:AY,
        Lapse_data!$A:$A, "&gt;="&amp;DATE($A10,1,1),
        Lapse_data!$A:$A, "&lt;="&amp;DATE($A10,12,31))</f>
        <v>22</v>
      </c>
      <c r="AZ10">
        <f>SUMIFS(Lapse_data!AZ:AZ,
        Lapse_data!$A:$A, "&gt;="&amp;DATE($A10,1,1),
        Lapse_data!$A:$A, "&lt;="&amp;DATE($A10,12,31))</f>
        <v>30</v>
      </c>
      <c r="BA10">
        <f>SUMIFS(Lapse_data!BA:BA,
        Lapse_data!$A:$A, "&gt;="&amp;DATE($A10,1,1),
        Lapse_data!$A:$A, "&lt;="&amp;DATE($A10,12,31))</f>
        <v>36</v>
      </c>
      <c r="BB10">
        <f>SUMIFS(Lapse_data!BB:BB,
        Lapse_data!$A:$A, "&gt;="&amp;DATE($A10,1,1),
        Lapse_data!$A:$A, "&lt;="&amp;DATE($A10,12,31))</f>
        <v>27</v>
      </c>
      <c r="BC10">
        <f>SUMIFS(Lapse_data!BC:BC,
        Lapse_data!$A:$A, "&gt;="&amp;DATE($A10,1,1),
        Lapse_data!$A:$A, "&lt;="&amp;DATE($A10,12,31))</f>
        <v>29</v>
      </c>
      <c r="BD10">
        <f>SUMIFS(Lapse_data!BD:BD,
        Lapse_data!$A:$A, "&gt;="&amp;DATE($A10,1,1),
        Lapse_data!$A:$A, "&lt;="&amp;DATE($A10,12,31))</f>
        <v>28</v>
      </c>
      <c r="BE10">
        <f>SUMIFS(Lapse_data!BE:BE,
        Lapse_data!$A:$A, "&gt;="&amp;DATE($A10,1,1),
        Lapse_data!$A:$A, "&lt;="&amp;DATE($A10,12,31))</f>
        <v>16</v>
      </c>
      <c r="BF10">
        <f>SUMIFS(Lapse_data!BF:BF,
        Lapse_data!$A:$A, "&gt;="&amp;DATE($A10,1,1),
        Lapse_data!$A:$A, "&lt;="&amp;DATE($A10,12,31))</f>
        <v>17</v>
      </c>
      <c r="BG10">
        <f>SUMIFS(Lapse_data!BG:BG,
        Lapse_data!$A:$A, "&gt;="&amp;DATE($A10,1,1),
        Lapse_data!$A:$A, "&lt;="&amp;DATE($A10,12,31))</f>
        <v>29</v>
      </c>
      <c r="BH10">
        <f>SUMIFS(Lapse_data!BH:BH,
        Lapse_data!$A:$A, "&gt;="&amp;DATE($A10,1,1),
        Lapse_data!$A:$A, "&lt;="&amp;DATE($A10,12,31))</f>
        <v>24</v>
      </c>
      <c r="BI10">
        <f>SUMIFS(Lapse_data!BI:BI,
        Lapse_data!$A:$A, "&gt;="&amp;DATE($A10,1,1),
        Lapse_data!$A:$A, "&lt;="&amp;DATE($A10,12,31))</f>
        <v>36</v>
      </c>
      <c r="BJ10">
        <f>SUMIFS(Lapse_data!BJ:BJ,
        Lapse_data!$A:$A, "&gt;="&amp;DATE($A10,1,1),
        Lapse_data!$A:$A, "&lt;="&amp;DATE($A10,12,31))</f>
        <v>30</v>
      </c>
      <c r="BK10">
        <f>SUMIFS(Lapse_data!BK:BK,
        Lapse_data!$A:$A, "&gt;="&amp;DATE($A10,1,1),
        Lapse_data!$A:$A, "&lt;="&amp;DATE($A10,12,31))</f>
        <v>34</v>
      </c>
      <c r="BL10">
        <f>SUMIFS(Lapse_data!BL:BL,
        Lapse_data!$A:$A, "&gt;="&amp;DATE($A10,1,1),
        Lapse_data!$A:$A, "&lt;="&amp;DATE($A10,12,31))</f>
        <v>20</v>
      </c>
      <c r="BM10">
        <f>SUMIFS(Lapse_data!BM:BM,
        Lapse_data!$A:$A, "&gt;="&amp;DATE($A10,1,1),
        Lapse_data!$A:$A, "&lt;="&amp;DATE($A10,12,31))</f>
        <v>22</v>
      </c>
      <c r="BN10">
        <f>SUMIFS(Lapse_data!BN:BN,
        Lapse_data!$A:$A, "&gt;="&amp;DATE($A10,1,1),
        Lapse_data!$A:$A, "&lt;="&amp;DATE($A10,12,31))</f>
        <v>26</v>
      </c>
      <c r="BO10">
        <f>SUMIFS(Lapse_data!BO:BO,
        Lapse_data!$A:$A, "&gt;="&amp;DATE($A10,1,1),
        Lapse_data!$A:$A, "&lt;="&amp;DATE($A10,12,31))</f>
        <v>21</v>
      </c>
      <c r="BP10">
        <f>SUMIFS(Lapse_data!BP:BP,
        Lapse_data!$A:$A, "&gt;="&amp;DATE($A10,1,1),
        Lapse_data!$A:$A, "&lt;="&amp;DATE($A10,12,31))</f>
        <v>20</v>
      </c>
      <c r="BQ10">
        <f>SUMIFS(Lapse_data!BQ:BQ,
        Lapse_data!$A:$A, "&gt;="&amp;DATE($A10,1,1),
        Lapse_data!$A:$A, "&lt;="&amp;DATE($A10,12,31))</f>
        <v>14</v>
      </c>
      <c r="BR10">
        <f>SUMIFS(Lapse_data!BR:BR,
        Lapse_data!$A:$A, "&gt;="&amp;DATE($A10,1,1),
        Lapse_data!$A:$A, "&lt;="&amp;DATE($A10,12,31))</f>
        <v>16</v>
      </c>
      <c r="BS10">
        <f>SUMIFS(Lapse_data!BS:BS,
        Lapse_data!$A:$A, "&gt;="&amp;DATE($A10,1,1),
        Lapse_data!$A:$A, "&lt;="&amp;DATE($A10,12,31))</f>
        <v>12</v>
      </c>
      <c r="BT10">
        <f>SUMIFS(Lapse_data!BT:BT,
        Lapse_data!$A:$A, "&gt;="&amp;DATE($A10,1,1),
        Lapse_data!$A:$A, "&lt;="&amp;DATE($A10,12,31))</f>
        <v>18</v>
      </c>
      <c r="BU10">
        <f>SUMIFS(Lapse_data!BU:BU,
        Lapse_data!$A:$A, "&gt;="&amp;DATE($A10,1,1),
        Lapse_data!$A:$A, "&lt;="&amp;DATE($A10,12,31))</f>
        <v>15</v>
      </c>
      <c r="BV10">
        <f>SUMIFS(Lapse_data!BV:BV,
        Lapse_data!$A:$A, "&gt;="&amp;DATE($A10,1,1),
        Lapse_data!$A:$A, "&lt;="&amp;DATE($A10,12,31))</f>
        <v>17</v>
      </c>
      <c r="BW10">
        <f>SUMIFS(Lapse_data!BW:BW,
        Lapse_data!$A:$A, "&gt;="&amp;DATE($A10,1,1),
        Lapse_data!$A:$A, "&lt;="&amp;DATE($A10,12,31))</f>
        <v>20</v>
      </c>
      <c r="BX10">
        <f>SUMIFS(Lapse_data!BX:BX,
        Lapse_data!$A:$A, "&gt;="&amp;DATE($A10,1,1),
        Lapse_data!$A:$A, "&lt;="&amp;DATE($A10,12,31))</f>
        <v>20</v>
      </c>
      <c r="BY10">
        <f>SUMIFS(Lapse_data!BY:BY,
        Lapse_data!$A:$A, "&gt;="&amp;DATE($A10,1,1),
        Lapse_data!$A:$A, "&lt;="&amp;DATE($A10,12,31))</f>
        <v>17</v>
      </c>
      <c r="BZ10">
        <f>SUMIFS(Lapse_data!BZ:BZ,
        Lapse_data!$A:$A, "&gt;="&amp;DATE($A10,1,1),
        Lapse_data!$A:$A, "&lt;="&amp;DATE($A10,12,31))</f>
        <v>7</v>
      </c>
      <c r="CA10">
        <f>SUMIFS(Lapse_data!CA:CA,
        Lapse_data!$A:$A, "&gt;="&amp;DATE($A10,1,1),
        Lapse_data!$A:$A, "&lt;="&amp;DATE($A10,12,31))</f>
        <v>11</v>
      </c>
      <c r="CB10">
        <f>SUMIFS(Lapse_data!CB:CB,
        Lapse_data!$A:$A, "&gt;="&amp;DATE($A10,1,1),
        Lapse_data!$A:$A, "&lt;="&amp;DATE($A10,12,31))</f>
        <v>11</v>
      </c>
      <c r="CC10">
        <f>SUMIFS(Lapse_data!CC:CC,
        Lapse_data!$A:$A, "&gt;="&amp;DATE($A10,1,1),
        Lapse_data!$A:$A, "&lt;="&amp;DATE($A10,12,31))</f>
        <v>16</v>
      </c>
      <c r="CD10">
        <f>SUMIFS(Lapse_data!CD:CD,
        Lapse_data!$A:$A, "&gt;="&amp;DATE($A10,1,1),
        Lapse_data!$A:$A, "&lt;="&amp;DATE($A10,12,31))</f>
        <v>9</v>
      </c>
      <c r="CE10">
        <f>SUMIFS(Lapse_data!CE:CE,
        Lapse_data!$A:$A, "&gt;="&amp;DATE($A10,1,1),
        Lapse_data!$A:$A, "&lt;="&amp;DATE($A10,12,31))</f>
        <v>12</v>
      </c>
      <c r="CF10">
        <f>SUMIFS(Lapse_data!CF:CF,
        Lapse_data!$A:$A, "&gt;="&amp;DATE($A10,1,1),
        Lapse_data!$A:$A, "&lt;="&amp;DATE($A10,12,31))</f>
        <v>13</v>
      </c>
      <c r="CG10">
        <f>SUMIFS(Lapse_data!CG:CG,
        Lapse_data!$A:$A, "&gt;="&amp;DATE($A10,1,1),
        Lapse_data!$A:$A, "&lt;="&amp;DATE($A10,12,31))</f>
        <v>16</v>
      </c>
      <c r="CH10">
        <f>SUMIFS(Lapse_data!CH:CH,
        Lapse_data!$A:$A, "&gt;="&amp;DATE($A10,1,1),
        Lapse_data!$A:$A, "&lt;="&amp;DATE($A10,12,31))</f>
        <v>12</v>
      </c>
      <c r="CI10">
        <f>SUMIFS(Lapse_data!CI:CI,
        Lapse_data!$A:$A, "&gt;="&amp;DATE($A10,1,1),
        Lapse_data!$A:$A, "&lt;="&amp;DATE($A10,12,31))</f>
        <v>14</v>
      </c>
      <c r="CJ10">
        <f>SUMIFS(Lapse_data!CJ:CJ,
        Lapse_data!$A:$A, "&gt;="&amp;DATE($A10,1,1),
        Lapse_data!$A:$A, "&lt;="&amp;DATE($A10,12,31))</f>
        <v>7</v>
      </c>
      <c r="CK10">
        <f>SUMIFS(Lapse_data!CK:CK,
        Lapse_data!$A:$A, "&gt;="&amp;DATE($A10,1,1),
        Lapse_data!$A:$A, "&lt;="&amp;DATE($A10,12,31))</f>
        <v>10</v>
      </c>
      <c r="CL10">
        <f>SUMIFS(Lapse_data!CL:CL,
        Lapse_data!$A:$A, "&gt;="&amp;DATE($A10,1,1),
        Lapse_data!$A:$A, "&lt;="&amp;DATE($A10,12,31))</f>
        <v>8</v>
      </c>
      <c r="CM10">
        <f>SUMIFS(Lapse_data!CM:CM,
        Lapse_data!$A:$A, "&gt;="&amp;DATE($A10,1,1),
        Lapse_data!$A:$A, "&lt;="&amp;DATE($A10,12,31))</f>
        <v>4</v>
      </c>
      <c r="CN10">
        <f>SUMIFS(Lapse_data!CN:CN,
        Lapse_data!$A:$A, "&gt;="&amp;DATE($A10,1,1),
        Lapse_data!$A:$A, "&lt;="&amp;DATE($A10,12,31))</f>
        <v>0</v>
      </c>
      <c r="CO10">
        <f>SUMIFS(Lapse_data!CO:CO,
        Lapse_data!$A:$A, "&gt;="&amp;DATE($A10,1,1),
        Lapse_data!$A:$A, "&lt;="&amp;DATE($A10,12,31))</f>
        <v>4</v>
      </c>
      <c r="CP10">
        <f>SUMIFS(Lapse_data!CP:CP,
        Lapse_data!$A:$A, "&gt;="&amp;DATE($A10,1,1),
        Lapse_data!$A:$A, "&lt;="&amp;DATE($A10,12,31))</f>
        <v>2</v>
      </c>
      <c r="CQ10">
        <f>SUMIFS(Lapse_data!CQ:CQ,
        Lapse_data!$A:$A, "&gt;="&amp;DATE($A10,1,1),
        Lapse_data!$A:$A, "&lt;="&amp;DATE($A10,12,31))</f>
        <v>1</v>
      </c>
      <c r="CR10">
        <f>SUMIFS(Lapse_data!CR:CR,
        Lapse_data!$A:$A, "&gt;="&amp;DATE($A10,1,1),
        Lapse_data!$A:$A, "&lt;="&amp;DATE($A10,12,31))</f>
        <v>2</v>
      </c>
      <c r="CS10">
        <f>SUMIFS(Lapse_data!CS:CS,
        Lapse_data!$A:$A, "&gt;="&amp;DATE($A10,1,1),
        Lapse_data!$A:$A, "&lt;="&amp;DATE($A10,12,31))</f>
        <v>0</v>
      </c>
      <c r="CT10">
        <f>SUMIFS(Lapse_data!CT:CT,
        Lapse_data!$A:$A, "&gt;="&amp;DATE($A10,1,1),
        Lapse_data!$A:$A, "&lt;="&amp;DATE($A10,12,31))</f>
        <v>0</v>
      </c>
      <c r="CU10">
        <f>SUMIFS(Lapse_data!CU:CU,
        Lapse_data!$A:$A, "&gt;="&amp;DATE($A10,1,1),
        Lapse_data!$A:$A, "&lt;="&amp;DATE($A10,12,31))</f>
        <v>0</v>
      </c>
      <c r="CV10">
        <f>SUMIFS(Lapse_data!CV:CV,
        Lapse_data!$A:$A, "&gt;="&amp;DATE($A10,1,1),
        Lapse_data!$A:$A, "&lt;="&amp;DATE($A10,12,31))</f>
        <v>0</v>
      </c>
      <c r="CW10">
        <f>SUMIFS(Lapse_data!CW:CW,
        Lapse_data!$A:$A, "&gt;="&amp;DATE($A10,1,1),
        Lapse_data!$A:$A, "&lt;="&amp;DATE($A10,12,31))</f>
        <v>0</v>
      </c>
      <c r="CX10">
        <f>SUMIFS(Lapse_data!CX:CX,
        Lapse_data!$A:$A, "&gt;="&amp;DATE($A10,1,1),
        Lapse_data!$A:$A, "&lt;="&amp;DATE($A10,12,31))</f>
        <v>0</v>
      </c>
      <c r="CY10">
        <f>SUMIFS(Lapse_data!CY:CY,
        Lapse_data!$A:$A, "&gt;="&amp;DATE($A10,1,1),
        Lapse_data!$A:$A, "&lt;="&amp;DATE($A10,12,31))</f>
        <v>0</v>
      </c>
      <c r="CZ10">
        <f>SUMIFS(Lapse_data!CZ:CZ,
        Lapse_data!$A:$A, "&gt;="&amp;DATE($A10,1,1),
        Lapse_data!$A:$A, "&lt;="&amp;DATE($A10,12,31))</f>
        <v>0</v>
      </c>
      <c r="DA10">
        <f>SUMIFS(Lapse_data!DA:DA,
        Lapse_data!$A:$A, "&gt;="&amp;DATE($A10,1,1),
        Lapse_data!$A:$A, "&lt;="&amp;DATE($A10,12,31))</f>
        <v>0</v>
      </c>
      <c r="DB10">
        <f>SUMIFS(Lapse_data!DB:DB,
        Lapse_data!$A:$A, "&gt;="&amp;DATE($A10,1,1),
        Lapse_data!$A:$A, "&lt;="&amp;DATE($A10,12,31))</f>
        <v>0</v>
      </c>
      <c r="DC10">
        <f>SUMIFS(Lapse_data!DC:DC,
        Lapse_data!$A:$A, "&gt;="&amp;DATE($A10,1,1),
        Lapse_data!$A:$A, "&lt;="&amp;DATE($A10,12,31))</f>
        <v>0</v>
      </c>
      <c r="DD10">
        <f>SUMIFS(Lapse_data!DD:DD,
        Lapse_data!$A:$A, "&gt;="&amp;DATE($A10,1,1),
        Lapse_data!$A:$A, "&lt;="&amp;DATE($A10,12,31))</f>
        <v>0</v>
      </c>
      <c r="DE10">
        <f>SUMIFS(Lapse_data!DE:DE,
        Lapse_data!$A:$A, "&gt;="&amp;DATE($A10,1,1),
        Lapse_data!$A:$A, "&lt;="&amp;DATE($A10,12,31))</f>
        <v>0</v>
      </c>
      <c r="DF10">
        <f>SUMIFS(Lapse_data!DF:DF,
        Lapse_data!$A:$A, "&gt;="&amp;DATE($A10,1,1),
        Lapse_data!$A:$A, "&lt;="&amp;DATE($A10,12,31))</f>
        <v>0</v>
      </c>
      <c r="DG10">
        <f>SUMIFS(Lapse_data!DG:DG,
        Lapse_data!$A:$A, "&gt;="&amp;DATE($A10,1,1),
        Lapse_data!$A:$A, "&lt;="&amp;DATE($A10,12,31))</f>
        <v>0</v>
      </c>
      <c r="DH10">
        <f>SUMIFS(Lapse_data!DH:DH,
        Lapse_data!$A:$A, "&gt;="&amp;DATE($A10,1,1),
        Lapse_data!$A:$A, "&lt;="&amp;DATE($A10,12,31))</f>
        <v>0</v>
      </c>
      <c r="DI10">
        <f>SUMIFS(Lapse_data!DI:DI,
        Lapse_data!$A:$A, "&gt;="&amp;DATE($A10,1,1),
        Lapse_data!$A:$A, "&lt;="&amp;DATE($A10,12,31))</f>
        <v>0</v>
      </c>
      <c r="DJ10">
        <f>SUMIFS(Lapse_data!DJ:DJ,
        Lapse_data!$A:$A, "&gt;="&amp;DATE($A10,1,1),
        Lapse_data!$A:$A, "&lt;="&amp;DATE($A10,12,31))</f>
        <v>0</v>
      </c>
      <c r="DK10">
        <f>SUMIFS(Lapse_data!DK:DK,
        Lapse_data!$A:$A, "&gt;="&amp;DATE($A10,1,1),
        Lapse_data!$A:$A, "&lt;="&amp;DATE($A10,12,31))</f>
        <v>0</v>
      </c>
      <c r="DL10">
        <f>SUMIFS(Lapse_data!DL:DL,
        Lapse_data!$A:$A, "&gt;="&amp;DATE($A10,1,1),
        Lapse_data!$A:$A, "&lt;="&amp;DATE($A10,12,31))</f>
        <v>0</v>
      </c>
      <c r="DM10">
        <f>SUMIFS(Lapse_data!DM:DM,
        Lapse_data!$A:$A, "&gt;="&amp;DATE($A10,1,1),
        Lapse_data!$A:$A, "&lt;="&amp;DATE($A10,12,31))</f>
        <v>0</v>
      </c>
      <c r="DN10">
        <f>SUMIFS(Lapse_data!DN:DN,
        Lapse_data!$A:$A, "&gt;="&amp;DATE($A10,1,1),
        Lapse_data!$A:$A, "&lt;="&amp;DATE($A10,12,31))</f>
        <v>0</v>
      </c>
      <c r="DO10">
        <f>SUMIFS(Lapse_data!DO:DO,
        Lapse_data!$A:$A, "&gt;="&amp;DATE($A10,1,1),
        Lapse_data!$A:$A, "&lt;="&amp;DATE($A10,12,31))</f>
        <v>0</v>
      </c>
      <c r="DP10">
        <f>SUMIFS(Lapse_data!DP:DP,
        Lapse_data!$A:$A, "&gt;="&amp;DATE($A10,1,1),
        Lapse_data!$A:$A, "&lt;="&amp;DATE($A10,12,31))</f>
        <v>0</v>
      </c>
      <c r="DQ10">
        <f>SUMIFS(Lapse_data!DQ:DQ,
        Lapse_data!$A:$A, "&gt;="&amp;DATE($A10,1,1),
        Lapse_data!$A:$A, "&lt;="&amp;DATE($A10,12,31))</f>
        <v>0</v>
      </c>
    </row>
    <row r="11" spans="1:121" x14ac:dyDescent="0.35">
      <c r="A11" s="10">
        <v>2018</v>
      </c>
      <c r="B11">
        <f>SUMIFS(Lapse_data!B:B,
        Lapse_data!$A:$A, "&gt;="&amp;DATE($A11,1,1),
        Lapse_data!$A:$A, "&lt;="&amp;DATE($A11,12,31))</f>
        <v>1171</v>
      </c>
      <c r="C11">
        <f>SUMIFS(Lapse_data!C:C,
        Lapse_data!$A:$A, "&gt;="&amp;DATE($A11,1,1),
        Lapse_data!$A:$A, "&lt;="&amp;DATE($A11,12,31))</f>
        <v>2159</v>
      </c>
      <c r="D11">
        <f>SUMIFS(Lapse_data!D:D,
        Lapse_data!$A:$A, "&gt;="&amp;DATE($A11,1,1),
        Lapse_data!$A:$A, "&lt;="&amp;DATE($A11,12,31))</f>
        <v>1530</v>
      </c>
      <c r="E11">
        <f>SUMIFS(Lapse_data!E:E,
        Lapse_data!$A:$A, "&gt;="&amp;DATE($A11,1,1),
        Lapse_data!$A:$A, "&lt;="&amp;DATE($A11,12,31))</f>
        <v>1064</v>
      </c>
      <c r="F11">
        <f>SUMIFS(Lapse_data!F:F,
        Lapse_data!$A:$A, "&gt;="&amp;DATE($A11,1,1),
        Lapse_data!$A:$A, "&lt;="&amp;DATE($A11,12,31))</f>
        <v>690</v>
      </c>
      <c r="G11">
        <f>SUMIFS(Lapse_data!G:G,
        Lapse_data!$A:$A, "&gt;="&amp;DATE($A11,1,1),
        Lapse_data!$A:$A, "&lt;="&amp;DATE($A11,12,31))</f>
        <v>664</v>
      </c>
      <c r="H11">
        <f>SUMIFS(Lapse_data!H:H,
        Lapse_data!$A:$A, "&gt;="&amp;DATE($A11,1,1),
        Lapse_data!$A:$A, "&lt;="&amp;DATE($A11,12,31))</f>
        <v>538</v>
      </c>
      <c r="I11">
        <f>SUMIFS(Lapse_data!I:I,
        Lapse_data!$A:$A, "&gt;="&amp;DATE($A11,1,1),
        Lapse_data!$A:$A, "&lt;="&amp;DATE($A11,12,31))</f>
        <v>504</v>
      </c>
      <c r="J11">
        <f>SUMIFS(Lapse_data!J:J,
        Lapse_data!$A:$A, "&gt;="&amp;DATE($A11,1,1),
        Lapse_data!$A:$A, "&lt;="&amp;DATE($A11,12,31))</f>
        <v>408</v>
      </c>
      <c r="K11">
        <f>SUMIFS(Lapse_data!K:K,
        Lapse_data!$A:$A, "&gt;="&amp;DATE($A11,1,1),
        Lapse_data!$A:$A, "&lt;="&amp;DATE($A11,12,31))</f>
        <v>382</v>
      </c>
      <c r="L11">
        <f>SUMIFS(Lapse_data!L:L,
        Lapse_data!$A:$A, "&gt;="&amp;DATE($A11,1,1),
        Lapse_data!$A:$A, "&lt;="&amp;DATE($A11,12,31))</f>
        <v>349</v>
      </c>
      <c r="M11">
        <f>SUMIFS(Lapse_data!M:M,
        Lapse_data!$A:$A, "&gt;="&amp;DATE($A11,1,1),
        Lapse_data!$A:$A, "&lt;="&amp;DATE($A11,12,31))</f>
        <v>339</v>
      </c>
      <c r="N11">
        <f>SUMIFS(Lapse_data!N:N,
        Lapse_data!$A:$A, "&gt;="&amp;DATE($A11,1,1),
        Lapse_data!$A:$A, "&lt;="&amp;DATE($A11,12,31))</f>
        <v>305</v>
      </c>
      <c r="O11">
        <f>SUMIFS(Lapse_data!O:O,
        Lapse_data!$A:$A, "&gt;="&amp;DATE($A11,1,1),
        Lapse_data!$A:$A, "&lt;="&amp;DATE($A11,12,31))</f>
        <v>272</v>
      </c>
      <c r="P11">
        <f>SUMIFS(Lapse_data!P:P,
        Lapse_data!$A:$A, "&gt;="&amp;DATE($A11,1,1),
        Lapse_data!$A:$A, "&lt;="&amp;DATE($A11,12,31))</f>
        <v>237</v>
      </c>
      <c r="Q11">
        <f>SUMIFS(Lapse_data!Q:Q,
        Lapse_data!$A:$A, "&gt;="&amp;DATE($A11,1,1),
        Lapse_data!$A:$A, "&lt;="&amp;DATE($A11,12,31))</f>
        <v>217</v>
      </c>
      <c r="R11">
        <f>SUMIFS(Lapse_data!R:R,
        Lapse_data!$A:$A, "&gt;="&amp;DATE($A11,1,1),
        Lapse_data!$A:$A, "&lt;="&amp;DATE($A11,12,31))</f>
        <v>160</v>
      </c>
      <c r="S11">
        <f>SUMIFS(Lapse_data!S:S,
        Lapse_data!$A:$A, "&gt;="&amp;DATE($A11,1,1),
        Lapse_data!$A:$A, "&lt;="&amp;DATE($A11,12,31))</f>
        <v>192</v>
      </c>
      <c r="T11">
        <f>SUMIFS(Lapse_data!T:T,
        Lapse_data!$A:$A, "&gt;="&amp;DATE($A11,1,1),
        Lapse_data!$A:$A, "&lt;="&amp;DATE($A11,12,31))</f>
        <v>153</v>
      </c>
      <c r="U11">
        <f>SUMIFS(Lapse_data!U:U,
        Lapse_data!$A:$A, "&gt;="&amp;DATE($A11,1,1),
        Lapse_data!$A:$A, "&lt;="&amp;DATE($A11,12,31))</f>
        <v>149</v>
      </c>
      <c r="V11">
        <f>SUMIFS(Lapse_data!V:V,
        Lapse_data!$A:$A, "&gt;="&amp;DATE($A11,1,1),
        Lapse_data!$A:$A, "&lt;="&amp;DATE($A11,12,31))</f>
        <v>143</v>
      </c>
      <c r="W11">
        <f>SUMIFS(Lapse_data!W:W,
        Lapse_data!$A:$A, "&gt;="&amp;DATE($A11,1,1),
        Lapse_data!$A:$A, "&lt;="&amp;DATE($A11,12,31))</f>
        <v>123</v>
      </c>
      <c r="X11">
        <f>SUMIFS(Lapse_data!X:X,
        Lapse_data!$A:$A, "&gt;="&amp;DATE($A11,1,1),
        Lapse_data!$A:$A, "&lt;="&amp;DATE($A11,12,31))</f>
        <v>110</v>
      </c>
      <c r="Y11">
        <f>SUMIFS(Lapse_data!Y:Y,
        Lapse_data!$A:$A, "&gt;="&amp;DATE($A11,1,1),
        Lapse_data!$A:$A, "&lt;="&amp;DATE($A11,12,31))</f>
        <v>120</v>
      </c>
      <c r="Z11">
        <f>SUMIFS(Lapse_data!Z:Z,
        Lapse_data!$A:$A, "&gt;="&amp;DATE($A11,1,1),
        Lapse_data!$A:$A, "&lt;="&amp;DATE($A11,12,31))</f>
        <v>103</v>
      </c>
      <c r="AA11">
        <f>SUMIFS(Lapse_data!AA:AA,
        Lapse_data!$A:$A, "&gt;="&amp;DATE($A11,1,1),
        Lapse_data!$A:$A, "&lt;="&amp;DATE($A11,12,31))</f>
        <v>99</v>
      </c>
      <c r="AB11">
        <f>SUMIFS(Lapse_data!AB:AB,
        Lapse_data!$A:$A, "&gt;="&amp;DATE($A11,1,1),
        Lapse_data!$A:$A, "&lt;="&amp;DATE($A11,12,31))</f>
        <v>74</v>
      </c>
      <c r="AC11">
        <f>SUMIFS(Lapse_data!AC:AC,
        Lapse_data!$A:$A, "&gt;="&amp;DATE($A11,1,1),
        Lapse_data!$A:$A, "&lt;="&amp;DATE($A11,12,31))</f>
        <v>88</v>
      </c>
      <c r="AD11">
        <f>SUMIFS(Lapse_data!AD:AD,
        Lapse_data!$A:$A, "&gt;="&amp;DATE($A11,1,1),
        Lapse_data!$A:$A, "&lt;="&amp;DATE($A11,12,31))</f>
        <v>84</v>
      </c>
      <c r="AE11">
        <f>SUMIFS(Lapse_data!AE:AE,
        Lapse_data!$A:$A, "&gt;="&amp;DATE($A11,1,1),
        Lapse_data!$A:$A, "&lt;="&amp;DATE($A11,12,31))</f>
        <v>80</v>
      </c>
      <c r="AF11">
        <f>SUMIFS(Lapse_data!AF:AF,
        Lapse_data!$A:$A, "&gt;="&amp;DATE($A11,1,1),
        Lapse_data!$A:$A, "&lt;="&amp;DATE($A11,12,31))</f>
        <v>68</v>
      </c>
      <c r="AG11">
        <f>SUMIFS(Lapse_data!AG:AG,
        Lapse_data!$A:$A, "&gt;="&amp;DATE($A11,1,1),
        Lapse_data!$A:$A, "&lt;="&amp;DATE($A11,12,31))</f>
        <v>52</v>
      </c>
      <c r="AH11">
        <f>SUMIFS(Lapse_data!AH:AH,
        Lapse_data!$A:$A, "&gt;="&amp;DATE($A11,1,1),
        Lapse_data!$A:$A, "&lt;="&amp;DATE($A11,12,31))</f>
        <v>55</v>
      </c>
      <c r="AI11">
        <f>SUMIFS(Lapse_data!AI:AI,
        Lapse_data!$A:$A, "&gt;="&amp;DATE($A11,1,1),
        Lapse_data!$A:$A, "&lt;="&amp;DATE($A11,12,31))</f>
        <v>70</v>
      </c>
      <c r="AJ11">
        <f>SUMIFS(Lapse_data!AJ:AJ,
        Lapse_data!$A:$A, "&gt;="&amp;DATE($A11,1,1),
        Lapse_data!$A:$A, "&lt;="&amp;DATE($A11,12,31))</f>
        <v>59</v>
      </c>
      <c r="AK11">
        <f>SUMIFS(Lapse_data!AK:AK,
        Lapse_data!$A:$A, "&gt;="&amp;DATE($A11,1,1),
        Lapse_data!$A:$A, "&lt;="&amp;DATE($A11,12,31))</f>
        <v>61</v>
      </c>
      <c r="AL11">
        <f>SUMIFS(Lapse_data!AL:AL,
        Lapse_data!$A:$A, "&gt;="&amp;DATE($A11,1,1),
        Lapse_data!$A:$A, "&lt;="&amp;DATE($A11,12,31))</f>
        <v>56</v>
      </c>
      <c r="AM11">
        <f>SUMIFS(Lapse_data!AM:AM,
        Lapse_data!$A:$A, "&gt;="&amp;DATE($A11,1,1),
        Lapse_data!$A:$A, "&lt;="&amp;DATE($A11,12,31))</f>
        <v>53</v>
      </c>
      <c r="AN11">
        <f>SUMIFS(Lapse_data!AN:AN,
        Lapse_data!$A:$A, "&gt;="&amp;DATE($A11,1,1),
        Lapse_data!$A:$A, "&lt;="&amp;DATE($A11,12,31))</f>
        <v>51</v>
      </c>
      <c r="AO11">
        <f>SUMIFS(Lapse_data!AO:AO,
        Lapse_data!$A:$A, "&gt;="&amp;DATE($A11,1,1),
        Lapse_data!$A:$A, "&lt;="&amp;DATE($A11,12,31))</f>
        <v>42</v>
      </c>
      <c r="AP11">
        <f>SUMIFS(Lapse_data!AP:AP,
        Lapse_data!$A:$A, "&gt;="&amp;DATE($A11,1,1),
        Lapse_data!$A:$A, "&lt;="&amp;DATE($A11,12,31))</f>
        <v>42</v>
      </c>
      <c r="AQ11">
        <f>SUMIFS(Lapse_data!AQ:AQ,
        Lapse_data!$A:$A, "&gt;="&amp;DATE($A11,1,1),
        Lapse_data!$A:$A, "&lt;="&amp;DATE($A11,12,31))</f>
        <v>44</v>
      </c>
      <c r="AR11">
        <f>SUMIFS(Lapse_data!AR:AR,
        Lapse_data!$A:$A, "&gt;="&amp;DATE($A11,1,1),
        Lapse_data!$A:$A, "&lt;="&amp;DATE($A11,12,31))</f>
        <v>43</v>
      </c>
      <c r="AS11">
        <f>SUMIFS(Lapse_data!AS:AS,
        Lapse_data!$A:$A, "&gt;="&amp;DATE($A11,1,1),
        Lapse_data!$A:$A, "&lt;="&amp;DATE($A11,12,31))</f>
        <v>42</v>
      </c>
      <c r="AT11">
        <f>SUMIFS(Lapse_data!AT:AT,
        Lapse_data!$A:$A, "&gt;="&amp;DATE($A11,1,1),
        Lapse_data!$A:$A, "&lt;="&amp;DATE($A11,12,31))</f>
        <v>36</v>
      </c>
      <c r="AU11">
        <f>SUMIFS(Lapse_data!AU:AU,
        Lapse_data!$A:$A, "&gt;="&amp;DATE($A11,1,1),
        Lapse_data!$A:$A, "&lt;="&amp;DATE($A11,12,31))</f>
        <v>41</v>
      </c>
      <c r="AV11">
        <f>SUMIFS(Lapse_data!AV:AV,
        Lapse_data!$A:$A, "&gt;="&amp;DATE($A11,1,1),
        Lapse_data!$A:$A, "&lt;="&amp;DATE($A11,12,31))</f>
        <v>52</v>
      </c>
      <c r="AW11">
        <f>SUMIFS(Lapse_data!AW:AW,
        Lapse_data!$A:$A, "&gt;="&amp;DATE($A11,1,1),
        Lapse_data!$A:$A, "&lt;="&amp;DATE($A11,12,31))</f>
        <v>45</v>
      </c>
      <c r="AX11">
        <f>SUMIFS(Lapse_data!AX:AX,
        Lapse_data!$A:$A, "&gt;="&amp;DATE($A11,1,1),
        Lapse_data!$A:$A, "&lt;="&amp;DATE($A11,12,31))</f>
        <v>39</v>
      </c>
      <c r="AY11">
        <f>SUMIFS(Lapse_data!AY:AY,
        Lapse_data!$A:$A, "&gt;="&amp;DATE($A11,1,1),
        Lapse_data!$A:$A, "&lt;="&amp;DATE($A11,12,31))</f>
        <v>41</v>
      </c>
      <c r="AZ11">
        <f>SUMIFS(Lapse_data!AZ:AZ,
        Lapse_data!$A:$A, "&gt;="&amp;DATE($A11,1,1),
        Lapse_data!$A:$A, "&lt;="&amp;DATE($A11,12,31))</f>
        <v>21</v>
      </c>
      <c r="BA11">
        <f>SUMIFS(Lapse_data!BA:BA,
        Lapse_data!$A:$A, "&gt;="&amp;DATE($A11,1,1),
        Lapse_data!$A:$A, "&lt;="&amp;DATE($A11,12,31))</f>
        <v>34</v>
      </c>
      <c r="BB11">
        <f>SUMIFS(Lapse_data!BB:BB,
        Lapse_data!$A:$A, "&gt;="&amp;DATE($A11,1,1),
        Lapse_data!$A:$A, "&lt;="&amp;DATE($A11,12,31))</f>
        <v>24</v>
      </c>
      <c r="BC11">
        <f>SUMIFS(Lapse_data!BC:BC,
        Lapse_data!$A:$A, "&gt;="&amp;DATE($A11,1,1),
        Lapse_data!$A:$A, "&lt;="&amp;DATE($A11,12,31))</f>
        <v>31</v>
      </c>
      <c r="BD11">
        <f>SUMIFS(Lapse_data!BD:BD,
        Lapse_data!$A:$A, "&gt;="&amp;DATE($A11,1,1),
        Lapse_data!$A:$A, "&lt;="&amp;DATE($A11,12,31))</f>
        <v>30</v>
      </c>
      <c r="BE11">
        <f>SUMIFS(Lapse_data!BE:BE,
        Lapse_data!$A:$A, "&gt;="&amp;DATE($A11,1,1),
        Lapse_data!$A:$A, "&lt;="&amp;DATE($A11,12,31))</f>
        <v>28</v>
      </c>
      <c r="BF11">
        <f>SUMIFS(Lapse_data!BF:BF,
        Lapse_data!$A:$A, "&gt;="&amp;DATE($A11,1,1),
        Lapse_data!$A:$A, "&lt;="&amp;DATE($A11,12,31))</f>
        <v>22</v>
      </c>
      <c r="BG11">
        <f>SUMIFS(Lapse_data!BG:BG,
        Lapse_data!$A:$A, "&gt;="&amp;DATE($A11,1,1),
        Lapse_data!$A:$A, "&lt;="&amp;DATE($A11,12,31))</f>
        <v>16</v>
      </c>
      <c r="BH11">
        <f>SUMIFS(Lapse_data!BH:BH,
        Lapse_data!$A:$A, "&gt;="&amp;DATE($A11,1,1),
        Lapse_data!$A:$A, "&lt;="&amp;DATE($A11,12,31))</f>
        <v>19</v>
      </c>
      <c r="BI11">
        <f>SUMIFS(Lapse_data!BI:BI,
        Lapse_data!$A:$A, "&gt;="&amp;DATE($A11,1,1),
        Lapse_data!$A:$A, "&lt;="&amp;DATE($A11,12,31))</f>
        <v>27</v>
      </c>
      <c r="BJ11">
        <f>SUMIFS(Lapse_data!BJ:BJ,
        Lapse_data!$A:$A, "&gt;="&amp;DATE($A11,1,1),
        Lapse_data!$A:$A, "&lt;="&amp;DATE($A11,12,31))</f>
        <v>25</v>
      </c>
      <c r="BK11">
        <f>SUMIFS(Lapse_data!BK:BK,
        Lapse_data!$A:$A, "&gt;="&amp;DATE($A11,1,1),
        Lapse_data!$A:$A, "&lt;="&amp;DATE($A11,12,31))</f>
        <v>27</v>
      </c>
      <c r="BL11">
        <f>SUMIFS(Lapse_data!BL:BL,
        Lapse_data!$A:$A, "&gt;="&amp;DATE($A11,1,1),
        Lapse_data!$A:$A, "&lt;="&amp;DATE($A11,12,31))</f>
        <v>23</v>
      </c>
      <c r="BM11">
        <f>SUMIFS(Lapse_data!BM:BM,
        Lapse_data!$A:$A, "&gt;="&amp;DATE($A11,1,1),
        Lapse_data!$A:$A, "&lt;="&amp;DATE($A11,12,31))</f>
        <v>18</v>
      </c>
      <c r="BN11">
        <f>SUMIFS(Lapse_data!BN:BN,
        Lapse_data!$A:$A, "&gt;="&amp;DATE($A11,1,1),
        Lapse_data!$A:$A, "&lt;="&amp;DATE($A11,12,31))</f>
        <v>20</v>
      </c>
      <c r="BO11">
        <f>SUMIFS(Lapse_data!BO:BO,
        Lapse_data!$A:$A, "&gt;="&amp;DATE($A11,1,1),
        Lapse_data!$A:$A, "&lt;="&amp;DATE($A11,12,31))</f>
        <v>15</v>
      </c>
      <c r="BP11">
        <f>SUMIFS(Lapse_data!BP:BP,
        Lapse_data!$A:$A, "&gt;="&amp;DATE($A11,1,1),
        Lapse_data!$A:$A, "&lt;="&amp;DATE($A11,12,31))</f>
        <v>14</v>
      </c>
      <c r="BQ11">
        <f>SUMIFS(Lapse_data!BQ:BQ,
        Lapse_data!$A:$A, "&gt;="&amp;DATE($A11,1,1),
        Lapse_data!$A:$A, "&lt;="&amp;DATE($A11,12,31))</f>
        <v>15</v>
      </c>
      <c r="BR11">
        <f>SUMIFS(Lapse_data!BR:BR,
        Lapse_data!$A:$A, "&gt;="&amp;DATE($A11,1,1),
        Lapse_data!$A:$A, "&lt;="&amp;DATE($A11,12,31))</f>
        <v>10</v>
      </c>
      <c r="BS11">
        <f>SUMIFS(Lapse_data!BS:BS,
        Lapse_data!$A:$A, "&gt;="&amp;DATE($A11,1,1),
        Lapse_data!$A:$A, "&lt;="&amp;DATE($A11,12,31))</f>
        <v>12</v>
      </c>
      <c r="BT11">
        <f>SUMIFS(Lapse_data!BT:BT,
        Lapse_data!$A:$A, "&gt;="&amp;DATE($A11,1,1),
        Lapse_data!$A:$A, "&lt;="&amp;DATE($A11,12,31))</f>
        <v>18</v>
      </c>
      <c r="BU11">
        <f>SUMIFS(Lapse_data!BU:BU,
        Lapse_data!$A:$A, "&gt;="&amp;DATE($A11,1,1),
        Lapse_data!$A:$A, "&lt;="&amp;DATE($A11,12,31))</f>
        <v>27</v>
      </c>
      <c r="BV11">
        <f>SUMIFS(Lapse_data!BV:BV,
        Lapse_data!$A:$A, "&gt;="&amp;DATE($A11,1,1),
        Lapse_data!$A:$A, "&lt;="&amp;DATE($A11,12,31))</f>
        <v>15</v>
      </c>
      <c r="BW11">
        <f>SUMIFS(Lapse_data!BW:BW,
        Lapse_data!$A:$A, "&gt;="&amp;DATE($A11,1,1),
        Lapse_data!$A:$A, "&lt;="&amp;DATE($A11,12,31))</f>
        <v>6</v>
      </c>
      <c r="BX11">
        <f>SUMIFS(Lapse_data!BX:BX,
        Lapse_data!$A:$A, "&gt;="&amp;DATE($A11,1,1),
        Lapse_data!$A:$A, "&lt;="&amp;DATE($A11,12,31))</f>
        <v>11</v>
      </c>
      <c r="BY11">
        <f>SUMIFS(Lapse_data!BY:BY,
        Lapse_data!$A:$A, "&gt;="&amp;DATE($A11,1,1),
        Lapse_data!$A:$A, "&lt;="&amp;DATE($A11,12,31))</f>
        <v>10</v>
      </c>
      <c r="BZ11">
        <f>SUMIFS(Lapse_data!BZ:BZ,
        Lapse_data!$A:$A, "&gt;="&amp;DATE($A11,1,1),
        Lapse_data!$A:$A, "&lt;="&amp;DATE($A11,12,31))</f>
        <v>11</v>
      </c>
      <c r="CA11">
        <f>SUMIFS(Lapse_data!CA:CA,
        Lapse_data!$A:$A, "&gt;="&amp;DATE($A11,1,1),
        Lapse_data!$A:$A, "&lt;="&amp;DATE($A11,12,31))</f>
        <v>5</v>
      </c>
      <c r="CB11">
        <f>SUMIFS(Lapse_data!CB:CB,
        Lapse_data!$A:$A, "&gt;="&amp;DATE($A11,1,1),
        Lapse_data!$A:$A, "&lt;="&amp;DATE($A11,12,31))</f>
        <v>4</v>
      </c>
      <c r="CC11">
        <f>SUMIFS(Lapse_data!CC:CC,
        Lapse_data!$A:$A, "&gt;="&amp;DATE($A11,1,1),
        Lapse_data!$A:$A, "&lt;="&amp;DATE($A11,12,31))</f>
        <v>5</v>
      </c>
      <c r="CD11">
        <f>SUMIFS(Lapse_data!CD:CD,
        Lapse_data!$A:$A, "&gt;="&amp;DATE($A11,1,1),
        Lapse_data!$A:$A, "&lt;="&amp;DATE($A11,12,31))</f>
        <v>4</v>
      </c>
      <c r="CE11">
        <f>SUMIFS(Lapse_data!CE:CE,
        Lapse_data!$A:$A, "&gt;="&amp;DATE($A11,1,1),
        Lapse_data!$A:$A, "&lt;="&amp;DATE($A11,12,31))</f>
        <v>1</v>
      </c>
      <c r="CF11">
        <f>SUMIFS(Lapse_data!CF:CF,
        Lapse_data!$A:$A, "&gt;="&amp;DATE($A11,1,1),
        Lapse_data!$A:$A, "&lt;="&amp;DATE($A11,12,31))</f>
        <v>1</v>
      </c>
      <c r="CG11">
        <f>SUMIFS(Lapse_data!CG:CG,
        Lapse_data!$A:$A, "&gt;="&amp;DATE($A11,1,1),
        Lapse_data!$A:$A, "&lt;="&amp;DATE($A11,12,31))</f>
        <v>2</v>
      </c>
      <c r="CH11">
        <f>SUMIFS(Lapse_data!CH:CH,
        Lapse_data!$A:$A, "&gt;="&amp;DATE($A11,1,1),
        Lapse_data!$A:$A, "&lt;="&amp;DATE($A11,12,31))</f>
        <v>0</v>
      </c>
      <c r="CI11">
        <f>SUMIFS(Lapse_data!CI:CI,
        Lapse_data!$A:$A, "&gt;="&amp;DATE($A11,1,1),
        Lapse_data!$A:$A, "&lt;="&amp;DATE($A11,12,31))</f>
        <v>0</v>
      </c>
      <c r="CJ11">
        <f>SUMIFS(Lapse_data!CJ:CJ,
        Lapse_data!$A:$A, "&gt;="&amp;DATE($A11,1,1),
        Lapse_data!$A:$A, "&lt;="&amp;DATE($A11,12,31))</f>
        <v>0</v>
      </c>
      <c r="CK11">
        <f>SUMIFS(Lapse_data!CK:CK,
        Lapse_data!$A:$A, "&gt;="&amp;DATE($A11,1,1),
        Lapse_data!$A:$A, "&lt;="&amp;DATE($A11,12,31))</f>
        <v>0</v>
      </c>
      <c r="CL11">
        <f>SUMIFS(Lapse_data!CL:CL,
        Lapse_data!$A:$A, "&gt;="&amp;DATE($A11,1,1),
        Lapse_data!$A:$A, "&lt;="&amp;DATE($A11,12,31))</f>
        <v>0</v>
      </c>
      <c r="CM11">
        <f>SUMIFS(Lapse_data!CM:CM,
        Lapse_data!$A:$A, "&gt;="&amp;DATE($A11,1,1),
        Lapse_data!$A:$A, "&lt;="&amp;DATE($A11,12,31))</f>
        <v>0</v>
      </c>
      <c r="CN11">
        <f>SUMIFS(Lapse_data!CN:CN,
        Lapse_data!$A:$A, "&gt;="&amp;DATE($A11,1,1),
        Lapse_data!$A:$A, "&lt;="&amp;DATE($A11,12,31))</f>
        <v>0</v>
      </c>
      <c r="CO11">
        <f>SUMIFS(Lapse_data!CO:CO,
        Lapse_data!$A:$A, "&gt;="&amp;DATE($A11,1,1),
        Lapse_data!$A:$A, "&lt;="&amp;DATE($A11,12,31))</f>
        <v>0</v>
      </c>
      <c r="CP11">
        <f>SUMIFS(Lapse_data!CP:CP,
        Lapse_data!$A:$A, "&gt;="&amp;DATE($A11,1,1),
        Lapse_data!$A:$A, "&lt;="&amp;DATE($A11,12,31))</f>
        <v>0</v>
      </c>
      <c r="CQ11">
        <f>SUMIFS(Lapse_data!CQ:CQ,
        Lapse_data!$A:$A, "&gt;="&amp;DATE($A11,1,1),
        Lapse_data!$A:$A, "&lt;="&amp;DATE($A11,12,31))</f>
        <v>0</v>
      </c>
      <c r="CR11">
        <f>SUMIFS(Lapse_data!CR:CR,
        Lapse_data!$A:$A, "&gt;="&amp;DATE($A11,1,1),
        Lapse_data!$A:$A, "&lt;="&amp;DATE($A11,12,31))</f>
        <v>0</v>
      </c>
      <c r="CS11">
        <f>SUMIFS(Lapse_data!CS:CS,
        Lapse_data!$A:$A, "&gt;="&amp;DATE($A11,1,1),
        Lapse_data!$A:$A, "&lt;="&amp;DATE($A11,12,31))</f>
        <v>0</v>
      </c>
      <c r="CT11">
        <f>SUMIFS(Lapse_data!CT:CT,
        Lapse_data!$A:$A, "&gt;="&amp;DATE($A11,1,1),
        Lapse_data!$A:$A, "&lt;="&amp;DATE($A11,12,31))</f>
        <v>0</v>
      </c>
      <c r="CU11">
        <f>SUMIFS(Lapse_data!CU:CU,
        Lapse_data!$A:$A, "&gt;="&amp;DATE($A11,1,1),
        Lapse_data!$A:$A, "&lt;="&amp;DATE($A11,12,31))</f>
        <v>0</v>
      </c>
      <c r="CV11">
        <f>SUMIFS(Lapse_data!CV:CV,
        Lapse_data!$A:$A, "&gt;="&amp;DATE($A11,1,1),
        Lapse_data!$A:$A, "&lt;="&amp;DATE($A11,12,31))</f>
        <v>0</v>
      </c>
      <c r="CW11">
        <f>SUMIFS(Lapse_data!CW:CW,
        Lapse_data!$A:$A, "&gt;="&amp;DATE($A11,1,1),
        Lapse_data!$A:$A, "&lt;="&amp;DATE($A11,12,31))</f>
        <v>0</v>
      </c>
      <c r="CX11">
        <f>SUMIFS(Lapse_data!CX:CX,
        Lapse_data!$A:$A, "&gt;="&amp;DATE($A11,1,1),
        Lapse_data!$A:$A, "&lt;="&amp;DATE($A11,12,31))</f>
        <v>0</v>
      </c>
      <c r="CY11">
        <f>SUMIFS(Lapse_data!CY:CY,
        Lapse_data!$A:$A, "&gt;="&amp;DATE($A11,1,1),
        Lapse_data!$A:$A, "&lt;="&amp;DATE($A11,12,31))</f>
        <v>0</v>
      </c>
      <c r="CZ11">
        <f>SUMIFS(Lapse_data!CZ:CZ,
        Lapse_data!$A:$A, "&gt;="&amp;DATE($A11,1,1),
        Lapse_data!$A:$A, "&lt;="&amp;DATE($A11,12,31))</f>
        <v>0</v>
      </c>
      <c r="DA11">
        <f>SUMIFS(Lapse_data!DA:DA,
        Lapse_data!$A:$A, "&gt;="&amp;DATE($A11,1,1),
        Lapse_data!$A:$A, "&lt;="&amp;DATE($A11,12,31))</f>
        <v>0</v>
      </c>
      <c r="DB11">
        <f>SUMIFS(Lapse_data!DB:DB,
        Lapse_data!$A:$A, "&gt;="&amp;DATE($A11,1,1),
        Lapse_data!$A:$A, "&lt;="&amp;DATE($A11,12,31))</f>
        <v>0</v>
      </c>
      <c r="DC11">
        <f>SUMIFS(Lapse_data!DC:DC,
        Lapse_data!$A:$A, "&gt;="&amp;DATE($A11,1,1),
        Lapse_data!$A:$A, "&lt;="&amp;DATE($A11,12,31))</f>
        <v>0</v>
      </c>
      <c r="DD11">
        <f>SUMIFS(Lapse_data!DD:DD,
        Lapse_data!$A:$A, "&gt;="&amp;DATE($A11,1,1),
        Lapse_data!$A:$A, "&lt;="&amp;DATE($A11,12,31))</f>
        <v>0</v>
      </c>
      <c r="DE11">
        <f>SUMIFS(Lapse_data!DE:DE,
        Lapse_data!$A:$A, "&gt;="&amp;DATE($A11,1,1),
        Lapse_data!$A:$A, "&lt;="&amp;DATE($A11,12,31))</f>
        <v>0</v>
      </c>
      <c r="DF11">
        <f>SUMIFS(Lapse_data!DF:DF,
        Lapse_data!$A:$A, "&gt;="&amp;DATE($A11,1,1),
        Lapse_data!$A:$A, "&lt;="&amp;DATE($A11,12,31))</f>
        <v>0</v>
      </c>
      <c r="DG11">
        <f>SUMIFS(Lapse_data!DG:DG,
        Lapse_data!$A:$A, "&gt;="&amp;DATE($A11,1,1),
        Lapse_data!$A:$A, "&lt;="&amp;DATE($A11,12,31))</f>
        <v>0</v>
      </c>
      <c r="DH11">
        <f>SUMIFS(Lapse_data!DH:DH,
        Lapse_data!$A:$A, "&gt;="&amp;DATE($A11,1,1),
        Lapse_data!$A:$A, "&lt;="&amp;DATE($A11,12,31))</f>
        <v>0</v>
      </c>
      <c r="DI11">
        <f>SUMIFS(Lapse_data!DI:DI,
        Lapse_data!$A:$A, "&gt;="&amp;DATE($A11,1,1),
        Lapse_data!$A:$A, "&lt;="&amp;DATE($A11,12,31))</f>
        <v>0</v>
      </c>
      <c r="DJ11">
        <f>SUMIFS(Lapse_data!DJ:DJ,
        Lapse_data!$A:$A, "&gt;="&amp;DATE($A11,1,1),
        Lapse_data!$A:$A, "&lt;="&amp;DATE($A11,12,31))</f>
        <v>0</v>
      </c>
      <c r="DK11">
        <f>SUMIFS(Lapse_data!DK:DK,
        Lapse_data!$A:$A, "&gt;="&amp;DATE($A11,1,1),
        Lapse_data!$A:$A, "&lt;="&amp;DATE($A11,12,31))</f>
        <v>0</v>
      </c>
      <c r="DL11">
        <f>SUMIFS(Lapse_data!DL:DL,
        Lapse_data!$A:$A, "&gt;="&amp;DATE($A11,1,1),
        Lapse_data!$A:$A, "&lt;="&amp;DATE($A11,12,31))</f>
        <v>0</v>
      </c>
      <c r="DM11">
        <f>SUMIFS(Lapse_data!DM:DM,
        Lapse_data!$A:$A, "&gt;="&amp;DATE($A11,1,1),
        Lapse_data!$A:$A, "&lt;="&amp;DATE($A11,12,31))</f>
        <v>0</v>
      </c>
      <c r="DN11">
        <f>SUMIFS(Lapse_data!DN:DN,
        Lapse_data!$A:$A, "&gt;="&amp;DATE($A11,1,1),
        Lapse_data!$A:$A, "&lt;="&amp;DATE($A11,12,31))</f>
        <v>0</v>
      </c>
      <c r="DO11">
        <f>SUMIFS(Lapse_data!DO:DO,
        Lapse_data!$A:$A, "&gt;="&amp;DATE($A11,1,1),
        Lapse_data!$A:$A, "&lt;="&amp;DATE($A11,12,31))</f>
        <v>0</v>
      </c>
      <c r="DP11">
        <f>SUMIFS(Lapse_data!DP:DP,
        Lapse_data!$A:$A, "&gt;="&amp;DATE($A11,1,1),
        Lapse_data!$A:$A, "&lt;="&amp;DATE($A11,12,31))</f>
        <v>0</v>
      </c>
      <c r="DQ11">
        <f>SUMIFS(Lapse_data!DQ:DQ,
        Lapse_data!$A:$A, "&gt;="&amp;DATE($A11,1,1),
        Lapse_data!$A:$A, "&lt;="&amp;DATE($A11,12,31))</f>
        <v>0</v>
      </c>
    </row>
    <row r="12" spans="1:121" x14ac:dyDescent="0.35">
      <c r="A12" s="10">
        <v>2019</v>
      </c>
      <c r="B12">
        <f>SUMIFS(Lapse_data!B:B,
        Lapse_data!$A:$A, "&gt;="&amp;DATE($A12,1,1),
        Lapse_data!$A:$A, "&lt;="&amp;DATE($A12,12,31))</f>
        <v>1349</v>
      </c>
      <c r="C12">
        <f>SUMIFS(Lapse_data!C:C,
        Lapse_data!$A:$A, "&gt;="&amp;DATE($A12,1,1),
        Lapse_data!$A:$A, "&lt;="&amp;DATE($A12,12,31))</f>
        <v>1503</v>
      </c>
      <c r="D12">
        <f>SUMIFS(Lapse_data!D:D,
        Lapse_data!$A:$A, "&gt;="&amp;DATE($A12,1,1),
        Lapse_data!$A:$A, "&lt;="&amp;DATE($A12,12,31))</f>
        <v>1397</v>
      </c>
      <c r="E12">
        <f>SUMIFS(Lapse_data!E:E,
        Lapse_data!$A:$A, "&gt;="&amp;DATE($A12,1,1),
        Lapse_data!$A:$A, "&lt;="&amp;DATE($A12,12,31))</f>
        <v>755</v>
      </c>
      <c r="F12">
        <f>SUMIFS(Lapse_data!F:F,
        Lapse_data!$A:$A, "&gt;="&amp;DATE($A12,1,1),
        Lapse_data!$A:$A, "&lt;="&amp;DATE($A12,12,31))</f>
        <v>486</v>
      </c>
      <c r="G12">
        <f>SUMIFS(Lapse_data!G:G,
        Lapse_data!$A:$A, "&gt;="&amp;DATE($A12,1,1),
        Lapse_data!$A:$A, "&lt;="&amp;DATE($A12,12,31))</f>
        <v>485</v>
      </c>
      <c r="H12">
        <f>SUMIFS(Lapse_data!H:H,
        Lapse_data!$A:$A, "&gt;="&amp;DATE($A12,1,1),
        Lapse_data!$A:$A, "&lt;="&amp;DATE($A12,12,31))</f>
        <v>368</v>
      </c>
      <c r="I12">
        <f>SUMIFS(Lapse_data!I:I,
        Lapse_data!$A:$A, "&gt;="&amp;DATE($A12,1,1),
        Lapse_data!$A:$A, "&lt;="&amp;DATE($A12,12,31))</f>
        <v>312</v>
      </c>
      <c r="J12">
        <f>SUMIFS(Lapse_data!J:J,
        Lapse_data!$A:$A, "&gt;="&amp;DATE($A12,1,1),
        Lapse_data!$A:$A, "&lt;="&amp;DATE($A12,12,31))</f>
        <v>278</v>
      </c>
      <c r="K12">
        <f>SUMIFS(Lapse_data!K:K,
        Lapse_data!$A:$A, "&gt;="&amp;DATE($A12,1,1),
        Lapse_data!$A:$A, "&lt;="&amp;DATE($A12,12,31))</f>
        <v>271</v>
      </c>
      <c r="L12">
        <f>SUMIFS(Lapse_data!L:L,
        Lapse_data!$A:$A, "&gt;="&amp;DATE($A12,1,1),
        Lapse_data!$A:$A, "&lt;="&amp;DATE($A12,12,31))</f>
        <v>214</v>
      </c>
      <c r="M12">
        <f>SUMIFS(Lapse_data!M:M,
        Lapse_data!$A:$A, "&gt;="&amp;DATE($A12,1,1),
        Lapse_data!$A:$A, "&lt;="&amp;DATE($A12,12,31))</f>
        <v>242</v>
      </c>
      <c r="N12">
        <f>SUMIFS(Lapse_data!N:N,
        Lapse_data!$A:$A, "&gt;="&amp;DATE($A12,1,1),
        Lapse_data!$A:$A, "&lt;="&amp;DATE($A12,12,31))</f>
        <v>238</v>
      </c>
      <c r="O12">
        <f>SUMIFS(Lapse_data!O:O,
        Lapse_data!$A:$A, "&gt;="&amp;DATE($A12,1,1),
        Lapse_data!$A:$A, "&lt;="&amp;DATE($A12,12,31))</f>
        <v>196</v>
      </c>
      <c r="P12">
        <f>SUMIFS(Lapse_data!P:P,
        Lapse_data!$A:$A, "&gt;="&amp;DATE($A12,1,1),
        Lapse_data!$A:$A, "&lt;="&amp;DATE($A12,12,31))</f>
        <v>173</v>
      </c>
      <c r="Q12">
        <f>SUMIFS(Lapse_data!Q:Q,
        Lapse_data!$A:$A, "&gt;="&amp;DATE($A12,1,1),
        Lapse_data!$A:$A, "&lt;="&amp;DATE($A12,12,31))</f>
        <v>122</v>
      </c>
      <c r="R12">
        <f>SUMIFS(Lapse_data!R:R,
        Lapse_data!$A:$A, "&gt;="&amp;DATE($A12,1,1),
        Lapse_data!$A:$A, "&lt;="&amp;DATE($A12,12,31))</f>
        <v>127</v>
      </c>
      <c r="S12">
        <f>SUMIFS(Lapse_data!S:S,
        Lapse_data!$A:$A, "&gt;="&amp;DATE($A12,1,1),
        Lapse_data!$A:$A, "&lt;="&amp;DATE($A12,12,31))</f>
        <v>114</v>
      </c>
      <c r="T12">
        <f>SUMIFS(Lapse_data!T:T,
        Lapse_data!$A:$A, "&gt;="&amp;DATE($A12,1,1),
        Lapse_data!$A:$A, "&lt;="&amp;DATE($A12,12,31))</f>
        <v>104</v>
      </c>
      <c r="U12">
        <f>SUMIFS(Lapse_data!U:U,
        Lapse_data!$A:$A, "&gt;="&amp;DATE($A12,1,1),
        Lapse_data!$A:$A, "&lt;="&amp;DATE($A12,12,31))</f>
        <v>88</v>
      </c>
      <c r="V12">
        <f>SUMIFS(Lapse_data!V:V,
        Lapse_data!$A:$A, "&gt;="&amp;DATE($A12,1,1),
        Lapse_data!$A:$A, "&lt;="&amp;DATE($A12,12,31))</f>
        <v>86</v>
      </c>
      <c r="W12">
        <f>SUMIFS(Lapse_data!W:W,
        Lapse_data!$A:$A, "&gt;="&amp;DATE($A12,1,1),
        Lapse_data!$A:$A, "&lt;="&amp;DATE($A12,12,31))</f>
        <v>68</v>
      </c>
      <c r="X12">
        <f>SUMIFS(Lapse_data!X:X,
        Lapse_data!$A:$A, "&gt;="&amp;DATE($A12,1,1),
        Lapse_data!$A:$A, "&lt;="&amp;DATE($A12,12,31))</f>
        <v>61</v>
      </c>
      <c r="Y12">
        <f>SUMIFS(Lapse_data!Y:Y,
        Lapse_data!$A:$A, "&gt;="&amp;DATE($A12,1,1),
        Lapse_data!$A:$A, "&lt;="&amp;DATE($A12,12,31))</f>
        <v>93</v>
      </c>
      <c r="Z12">
        <f>SUMIFS(Lapse_data!Z:Z,
        Lapse_data!$A:$A, "&gt;="&amp;DATE($A12,1,1),
        Lapse_data!$A:$A, "&lt;="&amp;DATE($A12,12,31))</f>
        <v>61</v>
      </c>
      <c r="AA12">
        <f>SUMIFS(Lapse_data!AA:AA,
        Lapse_data!$A:$A, "&gt;="&amp;DATE($A12,1,1),
        Lapse_data!$A:$A, "&lt;="&amp;DATE($A12,12,31))</f>
        <v>48</v>
      </c>
      <c r="AB12">
        <f>SUMIFS(Lapse_data!AB:AB,
        Lapse_data!$A:$A, "&gt;="&amp;DATE($A12,1,1),
        Lapse_data!$A:$A, "&lt;="&amp;DATE($A12,12,31))</f>
        <v>63</v>
      </c>
      <c r="AC12">
        <f>SUMIFS(Lapse_data!AC:AC,
        Lapse_data!$A:$A, "&gt;="&amp;DATE($A12,1,1),
        Lapse_data!$A:$A, "&lt;="&amp;DATE($A12,12,31))</f>
        <v>64</v>
      </c>
      <c r="AD12">
        <f>SUMIFS(Lapse_data!AD:AD,
        Lapse_data!$A:$A, "&gt;="&amp;DATE($A12,1,1),
        Lapse_data!$A:$A, "&lt;="&amp;DATE($A12,12,31))</f>
        <v>54</v>
      </c>
      <c r="AE12">
        <f>SUMIFS(Lapse_data!AE:AE,
        Lapse_data!$A:$A, "&gt;="&amp;DATE($A12,1,1),
        Lapse_data!$A:$A, "&lt;="&amp;DATE($A12,12,31))</f>
        <v>49</v>
      </c>
      <c r="AF12">
        <f>SUMIFS(Lapse_data!AF:AF,
        Lapse_data!$A:$A, "&gt;="&amp;DATE($A12,1,1),
        Lapse_data!$A:$A, "&lt;="&amp;DATE($A12,12,31))</f>
        <v>47</v>
      </c>
      <c r="AG12">
        <f>SUMIFS(Lapse_data!AG:AG,
        Lapse_data!$A:$A, "&gt;="&amp;DATE($A12,1,1),
        Lapse_data!$A:$A, "&lt;="&amp;DATE($A12,12,31))</f>
        <v>41</v>
      </c>
      <c r="AH12">
        <f>SUMIFS(Lapse_data!AH:AH,
        Lapse_data!$A:$A, "&gt;="&amp;DATE($A12,1,1),
        Lapse_data!$A:$A, "&lt;="&amp;DATE($A12,12,31))</f>
        <v>52</v>
      </c>
      <c r="AI12">
        <f>SUMIFS(Lapse_data!AI:AI,
        Lapse_data!$A:$A, "&gt;="&amp;DATE($A12,1,1),
        Lapse_data!$A:$A, "&lt;="&amp;DATE($A12,12,31))</f>
        <v>38</v>
      </c>
      <c r="AJ12">
        <f>SUMIFS(Lapse_data!AJ:AJ,
        Lapse_data!$A:$A, "&gt;="&amp;DATE($A12,1,1),
        Lapse_data!$A:$A, "&lt;="&amp;DATE($A12,12,31))</f>
        <v>52</v>
      </c>
      <c r="AK12">
        <f>SUMIFS(Lapse_data!AK:AK,
        Lapse_data!$A:$A, "&gt;="&amp;DATE($A12,1,1),
        Lapse_data!$A:$A, "&lt;="&amp;DATE($A12,12,31))</f>
        <v>53</v>
      </c>
      <c r="AL12">
        <f>SUMIFS(Lapse_data!AL:AL,
        Lapse_data!$A:$A, "&gt;="&amp;DATE($A12,1,1),
        Lapse_data!$A:$A, "&lt;="&amp;DATE($A12,12,31))</f>
        <v>38</v>
      </c>
      <c r="AM12">
        <f>SUMIFS(Lapse_data!AM:AM,
        Lapse_data!$A:$A, "&gt;="&amp;DATE($A12,1,1),
        Lapse_data!$A:$A, "&lt;="&amp;DATE($A12,12,31))</f>
        <v>26</v>
      </c>
      <c r="AN12">
        <f>SUMIFS(Lapse_data!AN:AN,
        Lapse_data!$A:$A, "&gt;="&amp;DATE($A12,1,1),
        Lapse_data!$A:$A, "&lt;="&amp;DATE($A12,12,31))</f>
        <v>28</v>
      </c>
      <c r="AO12">
        <f>SUMIFS(Lapse_data!AO:AO,
        Lapse_data!$A:$A, "&gt;="&amp;DATE($A12,1,1),
        Lapse_data!$A:$A, "&lt;="&amp;DATE($A12,12,31))</f>
        <v>17</v>
      </c>
      <c r="AP12">
        <f>SUMIFS(Lapse_data!AP:AP,
        Lapse_data!$A:$A, "&gt;="&amp;DATE($A12,1,1),
        Lapse_data!$A:$A, "&lt;="&amp;DATE($A12,12,31))</f>
        <v>34</v>
      </c>
      <c r="AQ12">
        <f>SUMIFS(Lapse_data!AQ:AQ,
        Lapse_data!$A:$A, "&gt;="&amp;DATE($A12,1,1),
        Lapse_data!$A:$A, "&lt;="&amp;DATE($A12,12,31))</f>
        <v>23</v>
      </c>
      <c r="AR12">
        <f>SUMIFS(Lapse_data!AR:AR,
        Lapse_data!$A:$A, "&gt;="&amp;DATE($A12,1,1),
        Lapse_data!$A:$A, "&lt;="&amp;DATE($A12,12,31))</f>
        <v>27</v>
      </c>
      <c r="AS12">
        <f>SUMIFS(Lapse_data!AS:AS,
        Lapse_data!$A:$A, "&gt;="&amp;DATE($A12,1,1),
        Lapse_data!$A:$A, "&lt;="&amp;DATE($A12,12,31))</f>
        <v>29</v>
      </c>
      <c r="AT12">
        <f>SUMIFS(Lapse_data!AT:AT,
        Lapse_data!$A:$A, "&gt;="&amp;DATE($A12,1,1),
        Lapse_data!$A:$A, "&lt;="&amp;DATE($A12,12,31))</f>
        <v>23</v>
      </c>
      <c r="AU12">
        <f>SUMIFS(Lapse_data!AU:AU,
        Lapse_data!$A:$A, "&gt;="&amp;DATE($A12,1,1),
        Lapse_data!$A:$A, "&lt;="&amp;DATE($A12,12,31))</f>
        <v>29</v>
      </c>
      <c r="AV12">
        <f>SUMIFS(Lapse_data!AV:AV,
        Lapse_data!$A:$A, "&gt;="&amp;DATE($A12,1,1),
        Lapse_data!$A:$A, "&lt;="&amp;DATE($A12,12,31))</f>
        <v>14</v>
      </c>
      <c r="AW12">
        <f>SUMIFS(Lapse_data!AW:AW,
        Lapse_data!$A:$A, "&gt;="&amp;DATE($A12,1,1),
        Lapse_data!$A:$A, "&lt;="&amp;DATE($A12,12,31))</f>
        <v>22</v>
      </c>
      <c r="AX12">
        <f>SUMIFS(Lapse_data!AX:AX,
        Lapse_data!$A:$A, "&gt;="&amp;DATE($A12,1,1),
        Lapse_data!$A:$A, "&lt;="&amp;DATE($A12,12,31))</f>
        <v>26</v>
      </c>
      <c r="AY12">
        <f>SUMIFS(Lapse_data!AY:AY,
        Lapse_data!$A:$A, "&gt;="&amp;DATE($A12,1,1),
        Lapse_data!$A:$A, "&lt;="&amp;DATE($A12,12,31))</f>
        <v>16</v>
      </c>
      <c r="AZ12">
        <f>SUMIFS(Lapse_data!AZ:AZ,
        Lapse_data!$A:$A, "&gt;="&amp;DATE($A12,1,1),
        Lapse_data!$A:$A, "&lt;="&amp;DATE($A12,12,31))</f>
        <v>16</v>
      </c>
      <c r="BA12">
        <f>SUMIFS(Lapse_data!BA:BA,
        Lapse_data!$A:$A, "&gt;="&amp;DATE($A12,1,1),
        Lapse_data!$A:$A, "&lt;="&amp;DATE($A12,12,31))</f>
        <v>25</v>
      </c>
      <c r="BB12">
        <f>SUMIFS(Lapse_data!BB:BB,
        Lapse_data!$A:$A, "&gt;="&amp;DATE($A12,1,1),
        Lapse_data!$A:$A, "&lt;="&amp;DATE($A12,12,31))</f>
        <v>20</v>
      </c>
      <c r="BC12">
        <f>SUMIFS(Lapse_data!BC:BC,
        Lapse_data!$A:$A, "&gt;="&amp;DATE($A12,1,1),
        Lapse_data!$A:$A, "&lt;="&amp;DATE($A12,12,31))</f>
        <v>14</v>
      </c>
      <c r="BD12">
        <f>SUMIFS(Lapse_data!BD:BD,
        Lapse_data!$A:$A, "&gt;="&amp;DATE($A12,1,1),
        Lapse_data!$A:$A, "&lt;="&amp;DATE($A12,12,31))</f>
        <v>22</v>
      </c>
      <c r="BE12">
        <f>SUMIFS(Lapse_data!BE:BE,
        Lapse_data!$A:$A, "&gt;="&amp;DATE($A12,1,1),
        Lapse_data!$A:$A, "&lt;="&amp;DATE($A12,12,31))</f>
        <v>12</v>
      </c>
      <c r="BF12">
        <f>SUMIFS(Lapse_data!BF:BF,
        Lapse_data!$A:$A, "&gt;="&amp;DATE($A12,1,1),
        Lapse_data!$A:$A, "&lt;="&amp;DATE($A12,12,31))</f>
        <v>8</v>
      </c>
      <c r="BG12">
        <f>SUMIFS(Lapse_data!BG:BG,
        Lapse_data!$A:$A, "&gt;="&amp;DATE($A12,1,1),
        Lapse_data!$A:$A, "&lt;="&amp;DATE($A12,12,31))</f>
        <v>9</v>
      </c>
      <c r="BH12">
        <f>SUMIFS(Lapse_data!BH:BH,
        Lapse_data!$A:$A, "&gt;="&amp;DATE($A12,1,1),
        Lapse_data!$A:$A, "&lt;="&amp;DATE($A12,12,31))</f>
        <v>22</v>
      </c>
      <c r="BI12">
        <f>SUMIFS(Lapse_data!BI:BI,
        Lapse_data!$A:$A, "&gt;="&amp;DATE($A12,1,1),
        Lapse_data!$A:$A, "&lt;="&amp;DATE($A12,12,31))</f>
        <v>15</v>
      </c>
      <c r="BJ12">
        <f>SUMIFS(Lapse_data!BJ:BJ,
        Lapse_data!$A:$A, "&gt;="&amp;DATE($A12,1,1),
        Lapse_data!$A:$A, "&lt;="&amp;DATE($A12,12,31))</f>
        <v>22</v>
      </c>
      <c r="BK12">
        <f>SUMIFS(Lapse_data!BK:BK,
        Lapse_data!$A:$A, "&gt;="&amp;DATE($A12,1,1),
        Lapse_data!$A:$A, "&lt;="&amp;DATE($A12,12,31))</f>
        <v>12</v>
      </c>
      <c r="BL12">
        <f>SUMIFS(Lapse_data!BL:BL,
        Lapse_data!$A:$A, "&gt;="&amp;DATE($A12,1,1),
        Lapse_data!$A:$A, "&lt;="&amp;DATE($A12,12,31))</f>
        <v>5</v>
      </c>
      <c r="BM12">
        <f>SUMIFS(Lapse_data!BM:BM,
        Lapse_data!$A:$A, "&gt;="&amp;DATE($A12,1,1),
        Lapse_data!$A:$A, "&lt;="&amp;DATE($A12,12,31))</f>
        <v>11</v>
      </c>
      <c r="BN12">
        <f>SUMIFS(Lapse_data!BN:BN,
        Lapse_data!$A:$A, "&gt;="&amp;DATE($A12,1,1),
        Lapse_data!$A:$A, "&lt;="&amp;DATE($A12,12,31))</f>
        <v>8</v>
      </c>
      <c r="BO12">
        <f>SUMIFS(Lapse_data!BO:BO,
        Lapse_data!$A:$A, "&gt;="&amp;DATE($A12,1,1),
        Lapse_data!$A:$A, "&lt;="&amp;DATE($A12,12,31))</f>
        <v>4</v>
      </c>
      <c r="BP12">
        <f>SUMIFS(Lapse_data!BP:BP,
        Lapse_data!$A:$A, "&gt;="&amp;DATE($A12,1,1),
        Lapse_data!$A:$A, "&lt;="&amp;DATE($A12,12,31))</f>
        <v>2</v>
      </c>
      <c r="BQ12">
        <f>SUMIFS(Lapse_data!BQ:BQ,
        Lapse_data!$A:$A, "&gt;="&amp;DATE($A12,1,1),
        Lapse_data!$A:$A, "&lt;="&amp;DATE($A12,12,31))</f>
        <v>2</v>
      </c>
      <c r="BR12">
        <f>SUMIFS(Lapse_data!BR:BR,
        Lapse_data!$A:$A, "&gt;="&amp;DATE($A12,1,1),
        Lapse_data!$A:$A, "&lt;="&amp;DATE($A12,12,31))</f>
        <v>0</v>
      </c>
      <c r="BS12">
        <f>SUMIFS(Lapse_data!BS:BS,
        Lapse_data!$A:$A, "&gt;="&amp;DATE($A12,1,1),
        Lapse_data!$A:$A, "&lt;="&amp;DATE($A12,12,31))</f>
        <v>0</v>
      </c>
      <c r="BT12">
        <f>SUMIFS(Lapse_data!BT:BT,
        Lapse_data!$A:$A, "&gt;="&amp;DATE($A12,1,1),
        Lapse_data!$A:$A, "&lt;="&amp;DATE($A12,12,31))</f>
        <v>2</v>
      </c>
      <c r="BU12">
        <f>SUMIFS(Lapse_data!BU:BU,
        Lapse_data!$A:$A, "&gt;="&amp;DATE($A12,1,1),
        Lapse_data!$A:$A, "&lt;="&amp;DATE($A12,12,31))</f>
        <v>0</v>
      </c>
      <c r="BV12">
        <f>SUMIFS(Lapse_data!BV:BV,
        Lapse_data!$A:$A, "&gt;="&amp;DATE($A12,1,1),
        Lapse_data!$A:$A, "&lt;="&amp;DATE($A12,12,31))</f>
        <v>0</v>
      </c>
      <c r="BW12">
        <f>SUMIFS(Lapse_data!BW:BW,
        Lapse_data!$A:$A, "&gt;="&amp;DATE($A12,1,1),
        Lapse_data!$A:$A, "&lt;="&amp;DATE($A12,12,31))</f>
        <v>0</v>
      </c>
      <c r="BX12">
        <f>SUMIFS(Lapse_data!BX:BX,
        Lapse_data!$A:$A, "&gt;="&amp;DATE($A12,1,1),
        Lapse_data!$A:$A, "&lt;="&amp;DATE($A12,12,31))</f>
        <v>0</v>
      </c>
      <c r="BY12">
        <f>SUMIFS(Lapse_data!BY:BY,
        Lapse_data!$A:$A, "&gt;="&amp;DATE($A12,1,1),
        Lapse_data!$A:$A, "&lt;="&amp;DATE($A12,12,31))</f>
        <v>0</v>
      </c>
      <c r="BZ12">
        <f>SUMIFS(Lapse_data!BZ:BZ,
        Lapse_data!$A:$A, "&gt;="&amp;DATE($A12,1,1),
        Lapse_data!$A:$A, "&lt;="&amp;DATE($A12,12,31))</f>
        <v>0</v>
      </c>
      <c r="CA12">
        <f>SUMIFS(Lapse_data!CA:CA,
        Lapse_data!$A:$A, "&gt;="&amp;DATE($A12,1,1),
        Lapse_data!$A:$A, "&lt;="&amp;DATE($A12,12,31))</f>
        <v>0</v>
      </c>
      <c r="CB12">
        <f>SUMIFS(Lapse_data!CB:CB,
        Lapse_data!$A:$A, "&gt;="&amp;DATE($A12,1,1),
        Lapse_data!$A:$A, "&lt;="&amp;DATE($A12,12,31))</f>
        <v>0</v>
      </c>
      <c r="CC12">
        <f>SUMIFS(Lapse_data!CC:CC,
        Lapse_data!$A:$A, "&gt;="&amp;DATE($A12,1,1),
        Lapse_data!$A:$A, "&lt;="&amp;DATE($A12,12,31))</f>
        <v>0</v>
      </c>
      <c r="CD12">
        <f>SUMIFS(Lapse_data!CD:CD,
        Lapse_data!$A:$A, "&gt;="&amp;DATE($A12,1,1),
        Lapse_data!$A:$A, "&lt;="&amp;DATE($A12,12,31))</f>
        <v>0</v>
      </c>
      <c r="CE12">
        <f>SUMIFS(Lapse_data!CE:CE,
        Lapse_data!$A:$A, "&gt;="&amp;DATE($A12,1,1),
        Lapse_data!$A:$A, "&lt;="&amp;DATE($A12,12,31))</f>
        <v>0</v>
      </c>
      <c r="CF12">
        <f>SUMIFS(Lapse_data!CF:CF,
        Lapse_data!$A:$A, "&gt;="&amp;DATE($A12,1,1),
        Lapse_data!$A:$A, "&lt;="&amp;DATE($A12,12,31))</f>
        <v>0</v>
      </c>
      <c r="CG12">
        <f>SUMIFS(Lapse_data!CG:CG,
        Lapse_data!$A:$A, "&gt;="&amp;DATE($A12,1,1),
        Lapse_data!$A:$A, "&lt;="&amp;DATE($A12,12,31))</f>
        <v>0</v>
      </c>
      <c r="CH12">
        <f>SUMIFS(Lapse_data!CH:CH,
        Lapse_data!$A:$A, "&gt;="&amp;DATE($A12,1,1),
        Lapse_data!$A:$A, "&lt;="&amp;DATE($A12,12,31))</f>
        <v>0</v>
      </c>
      <c r="CI12">
        <f>SUMIFS(Lapse_data!CI:CI,
        Lapse_data!$A:$A, "&gt;="&amp;DATE($A12,1,1),
        Lapse_data!$A:$A, "&lt;="&amp;DATE($A12,12,31))</f>
        <v>0</v>
      </c>
      <c r="CJ12">
        <f>SUMIFS(Lapse_data!CJ:CJ,
        Lapse_data!$A:$A, "&gt;="&amp;DATE($A12,1,1),
        Lapse_data!$A:$A, "&lt;="&amp;DATE($A12,12,31))</f>
        <v>0</v>
      </c>
      <c r="CK12">
        <f>SUMIFS(Lapse_data!CK:CK,
        Lapse_data!$A:$A, "&gt;="&amp;DATE($A12,1,1),
        Lapse_data!$A:$A, "&lt;="&amp;DATE($A12,12,31))</f>
        <v>0</v>
      </c>
      <c r="CL12">
        <f>SUMIFS(Lapse_data!CL:CL,
        Lapse_data!$A:$A, "&gt;="&amp;DATE($A12,1,1),
        Lapse_data!$A:$A, "&lt;="&amp;DATE($A12,12,31))</f>
        <v>0</v>
      </c>
      <c r="CM12">
        <f>SUMIFS(Lapse_data!CM:CM,
        Lapse_data!$A:$A, "&gt;="&amp;DATE($A12,1,1),
        Lapse_data!$A:$A, "&lt;="&amp;DATE($A12,12,31))</f>
        <v>0</v>
      </c>
      <c r="CN12">
        <f>SUMIFS(Lapse_data!CN:CN,
        Lapse_data!$A:$A, "&gt;="&amp;DATE($A12,1,1),
        Lapse_data!$A:$A, "&lt;="&amp;DATE($A12,12,31))</f>
        <v>0</v>
      </c>
      <c r="CO12">
        <f>SUMIFS(Lapse_data!CO:CO,
        Lapse_data!$A:$A, "&gt;="&amp;DATE($A12,1,1),
        Lapse_data!$A:$A, "&lt;="&amp;DATE($A12,12,31))</f>
        <v>0</v>
      </c>
      <c r="CP12">
        <f>SUMIFS(Lapse_data!CP:CP,
        Lapse_data!$A:$A, "&gt;="&amp;DATE($A12,1,1),
        Lapse_data!$A:$A, "&lt;="&amp;DATE($A12,12,31))</f>
        <v>0</v>
      </c>
      <c r="CQ12">
        <f>SUMIFS(Lapse_data!CQ:CQ,
        Lapse_data!$A:$A, "&gt;="&amp;DATE($A12,1,1),
        Lapse_data!$A:$A, "&lt;="&amp;DATE($A12,12,31))</f>
        <v>0</v>
      </c>
      <c r="CR12">
        <f>SUMIFS(Lapse_data!CR:CR,
        Lapse_data!$A:$A, "&gt;="&amp;DATE($A12,1,1),
        Lapse_data!$A:$A, "&lt;="&amp;DATE($A12,12,31))</f>
        <v>0</v>
      </c>
      <c r="CS12">
        <f>SUMIFS(Lapse_data!CS:CS,
        Lapse_data!$A:$A, "&gt;="&amp;DATE($A12,1,1),
        Lapse_data!$A:$A, "&lt;="&amp;DATE($A12,12,31))</f>
        <v>0</v>
      </c>
      <c r="CT12">
        <f>SUMIFS(Lapse_data!CT:CT,
        Lapse_data!$A:$A, "&gt;="&amp;DATE($A12,1,1),
        Lapse_data!$A:$A, "&lt;="&amp;DATE($A12,12,31))</f>
        <v>0</v>
      </c>
      <c r="CU12">
        <f>SUMIFS(Lapse_data!CU:CU,
        Lapse_data!$A:$A, "&gt;="&amp;DATE($A12,1,1),
        Lapse_data!$A:$A, "&lt;="&amp;DATE($A12,12,31))</f>
        <v>0</v>
      </c>
      <c r="CV12">
        <f>SUMIFS(Lapse_data!CV:CV,
        Lapse_data!$A:$A, "&gt;="&amp;DATE($A12,1,1),
        Lapse_data!$A:$A, "&lt;="&amp;DATE($A12,12,31))</f>
        <v>0</v>
      </c>
      <c r="CW12">
        <f>SUMIFS(Lapse_data!CW:CW,
        Lapse_data!$A:$A, "&gt;="&amp;DATE($A12,1,1),
        Lapse_data!$A:$A, "&lt;="&amp;DATE($A12,12,31))</f>
        <v>0</v>
      </c>
      <c r="CX12">
        <f>SUMIFS(Lapse_data!CX:CX,
        Lapse_data!$A:$A, "&gt;="&amp;DATE($A12,1,1),
        Lapse_data!$A:$A, "&lt;="&amp;DATE($A12,12,31))</f>
        <v>0</v>
      </c>
      <c r="CY12">
        <f>SUMIFS(Lapse_data!CY:CY,
        Lapse_data!$A:$A, "&gt;="&amp;DATE($A12,1,1),
        Lapse_data!$A:$A, "&lt;="&amp;DATE($A12,12,31))</f>
        <v>0</v>
      </c>
      <c r="CZ12">
        <f>SUMIFS(Lapse_data!CZ:CZ,
        Lapse_data!$A:$A, "&gt;="&amp;DATE($A12,1,1),
        Lapse_data!$A:$A, "&lt;="&amp;DATE($A12,12,31))</f>
        <v>0</v>
      </c>
      <c r="DA12">
        <f>SUMIFS(Lapse_data!DA:DA,
        Lapse_data!$A:$A, "&gt;="&amp;DATE($A12,1,1),
        Lapse_data!$A:$A, "&lt;="&amp;DATE($A12,12,31))</f>
        <v>0</v>
      </c>
      <c r="DB12">
        <f>SUMIFS(Lapse_data!DB:DB,
        Lapse_data!$A:$A, "&gt;="&amp;DATE($A12,1,1),
        Lapse_data!$A:$A, "&lt;="&amp;DATE($A12,12,31))</f>
        <v>0</v>
      </c>
      <c r="DC12">
        <f>SUMIFS(Lapse_data!DC:DC,
        Lapse_data!$A:$A, "&gt;="&amp;DATE($A12,1,1),
        Lapse_data!$A:$A, "&lt;="&amp;DATE($A12,12,31))</f>
        <v>0</v>
      </c>
      <c r="DD12">
        <f>SUMIFS(Lapse_data!DD:DD,
        Lapse_data!$A:$A, "&gt;="&amp;DATE($A12,1,1),
        Lapse_data!$A:$A, "&lt;="&amp;DATE($A12,12,31))</f>
        <v>0</v>
      </c>
      <c r="DE12">
        <f>SUMIFS(Lapse_data!DE:DE,
        Lapse_data!$A:$A, "&gt;="&amp;DATE($A12,1,1),
        Lapse_data!$A:$A, "&lt;="&amp;DATE($A12,12,31))</f>
        <v>0</v>
      </c>
      <c r="DF12">
        <f>SUMIFS(Lapse_data!DF:DF,
        Lapse_data!$A:$A, "&gt;="&amp;DATE($A12,1,1),
        Lapse_data!$A:$A, "&lt;="&amp;DATE($A12,12,31))</f>
        <v>0</v>
      </c>
      <c r="DG12">
        <f>SUMIFS(Lapse_data!DG:DG,
        Lapse_data!$A:$A, "&gt;="&amp;DATE($A12,1,1),
        Lapse_data!$A:$A, "&lt;="&amp;DATE($A12,12,31))</f>
        <v>0</v>
      </c>
      <c r="DH12">
        <f>SUMIFS(Lapse_data!DH:DH,
        Lapse_data!$A:$A, "&gt;="&amp;DATE($A12,1,1),
        Lapse_data!$A:$A, "&lt;="&amp;DATE($A12,12,31))</f>
        <v>0</v>
      </c>
      <c r="DI12">
        <f>SUMIFS(Lapse_data!DI:DI,
        Lapse_data!$A:$A, "&gt;="&amp;DATE($A12,1,1),
        Lapse_data!$A:$A, "&lt;="&amp;DATE($A12,12,31))</f>
        <v>0</v>
      </c>
      <c r="DJ12">
        <f>SUMIFS(Lapse_data!DJ:DJ,
        Lapse_data!$A:$A, "&gt;="&amp;DATE($A12,1,1),
        Lapse_data!$A:$A, "&lt;="&amp;DATE($A12,12,31))</f>
        <v>0</v>
      </c>
      <c r="DK12">
        <f>SUMIFS(Lapse_data!DK:DK,
        Lapse_data!$A:$A, "&gt;="&amp;DATE($A12,1,1),
        Lapse_data!$A:$A, "&lt;="&amp;DATE($A12,12,31))</f>
        <v>0</v>
      </c>
      <c r="DL12">
        <f>SUMIFS(Lapse_data!DL:DL,
        Lapse_data!$A:$A, "&gt;="&amp;DATE($A12,1,1),
        Lapse_data!$A:$A, "&lt;="&amp;DATE($A12,12,31))</f>
        <v>0</v>
      </c>
      <c r="DM12">
        <f>SUMIFS(Lapse_data!DM:DM,
        Lapse_data!$A:$A, "&gt;="&amp;DATE($A12,1,1),
        Lapse_data!$A:$A, "&lt;="&amp;DATE($A12,12,31))</f>
        <v>0</v>
      </c>
      <c r="DN12">
        <f>SUMIFS(Lapse_data!DN:DN,
        Lapse_data!$A:$A, "&gt;="&amp;DATE($A12,1,1),
        Lapse_data!$A:$A, "&lt;="&amp;DATE($A12,12,31))</f>
        <v>0</v>
      </c>
      <c r="DO12">
        <f>SUMIFS(Lapse_data!DO:DO,
        Lapse_data!$A:$A, "&gt;="&amp;DATE($A12,1,1),
        Lapse_data!$A:$A, "&lt;="&amp;DATE($A12,12,31))</f>
        <v>0</v>
      </c>
      <c r="DP12">
        <f>SUMIFS(Lapse_data!DP:DP,
        Lapse_data!$A:$A, "&gt;="&amp;DATE($A12,1,1),
        Lapse_data!$A:$A, "&lt;="&amp;DATE($A12,12,31))</f>
        <v>0</v>
      </c>
      <c r="DQ12">
        <f>SUMIFS(Lapse_data!DQ:DQ,
        Lapse_data!$A:$A, "&gt;="&amp;DATE($A12,1,1),
        Lapse_data!$A:$A, "&lt;="&amp;DATE($A12,12,31))</f>
        <v>0</v>
      </c>
    </row>
    <row r="13" spans="1:121" x14ac:dyDescent="0.35">
      <c r="A13" s="10">
        <v>2020</v>
      </c>
      <c r="B13">
        <f>SUMIFS(Lapse_data!B:B,
        Lapse_data!$A:$A, "&gt;="&amp;DATE($A13,1,1),
        Lapse_data!$A:$A, "&lt;="&amp;DATE($A13,12,31))</f>
        <v>712</v>
      </c>
      <c r="C13">
        <f>SUMIFS(Lapse_data!C:C,
        Lapse_data!$A:$A, "&gt;="&amp;DATE($A13,1,1),
        Lapse_data!$A:$A, "&lt;="&amp;DATE($A13,12,31))</f>
        <v>1177</v>
      </c>
      <c r="D13">
        <f>SUMIFS(Lapse_data!D:D,
        Lapse_data!$A:$A, "&gt;="&amp;DATE($A13,1,1),
        Lapse_data!$A:$A, "&lt;="&amp;DATE($A13,12,31))</f>
        <v>833</v>
      </c>
      <c r="E13">
        <f>SUMIFS(Lapse_data!E:E,
        Lapse_data!$A:$A, "&gt;="&amp;DATE($A13,1,1),
        Lapse_data!$A:$A, "&lt;="&amp;DATE($A13,12,31))</f>
        <v>496</v>
      </c>
      <c r="F13">
        <f>SUMIFS(Lapse_data!F:F,
        Lapse_data!$A:$A, "&gt;="&amp;DATE($A13,1,1),
        Lapse_data!$A:$A, "&lt;="&amp;DATE($A13,12,31))</f>
        <v>398</v>
      </c>
      <c r="G13">
        <f>SUMIFS(Lapse_data!G:G,
        Lapse_data!$A:$A, "&gt;="&amp;DATE($A13,1,1),
        Lapse_data!$A:$A, "&lt;="&amp;DATE($A13,12,31))</f>
        <v>431</v>
      </c>
      <c r="H13">
        <f>SUMIFS(Lapse_data!H:H,
        Lapse_data!$A:$A, "&gt;="&amp;DATE($A13,1,1),
        Lapse_data!$A:$A, "&lt;="&amp;DATE($A13,12,31))</f>
        <v>374</v>
      </c>
      <c r="I13">
        <f>SUMIFS(Lapse_data!I:I,
        Lapse_data!$A:$A, "&gt;="&amp;DATE($A13,1,1),
        Lapse_data!$A:$A, "&lt;="&amp;DATE($A13,12,31))</f>
        <v>311</v>
      </c>
      <c r="J13">
        <f>SUMIFS(Lapse_data!J:J,
        Lapse_data!$A:$A, "&gt;="&amp;DATE($A13,1,1),
        Lapse_data!$A:$A, "&lt;="&amp;DATE($A13,12,31))</f>
        <v>255</v>
      </c>
      <c r="K13">
        <f>SUMIFS(Lapse_data!K:K,
        Lapse_data!$A:$A, "&gt;="&amp;DATE($A13,1,1),
        Lapse_data!$A:$A, "&lt;="&amp;DATE($A13,12,31))</f>
        <v>258</v>
      </c>
      <c r="L13">
        <f>SUMIFS(Lapse_data!L:L,
        Lapse_data!$A:$A, "&gt;="&amp;DATE($A13,1,1),
        Lapse_data!$A:$A, "&lt;="&amp;DATE($A13,12,31))</f>
        <v>236</v>
      </c>
      <c r="M13">
        <f>SUMIFS(Lapse_data!M:M,
        Lapse_data!$A:$A, "&gt;="&amp;DATE($A13,1,1),
        Lapse_data!$A:$A, "&lt;="&amp;DATE($A13,12,31))</f>
        <v>187</v>
      </c>
      <c r="N13">
        <f>SUMIFS(Lapse_data!N:N,
        Lapse_data!$A:$A, "&gt;="&amp;DATE($A13,1,1),
        Lapse_data!$A:$A, "&lt;="&amp;DATE($A13,12,31))</f>
        <v>186</v>
      </c>
      <c r="O13">
        <f>SUMIFS(Lapse_data!O:O,
        Lapse_data!$A:$A, "&gt;="&amp;DATE($A13,1,1),
        Lapse_data!$A:$A, "&lt;="&amp;DATE($A13,12,31))</f>
        <v>137</v>
      </c>
      <c r="P13">
        <f>SUMIFS(Lapse_data!P:P,
        Lapse_data!$A:$A, "&gt;="&amp;DATE($A13,1,1),
        Lapse_data!$A:$A, "&lt;="&amp;DATE($A13,12,31))</f>
        <v>134</v>
      </c>
      <c r="Q13">
        <f>SUMIFS(Lapse_data!Q:Q,
        Lapse_data!$A:$A, "&gt;="&amp;DATE($A13,1,1),
        Lapse_data!$A:$A, "&lt;="&amp;DATE($A13,12,31))</f>
        <v>102</v>
      </c>
      <c r="R13">
        <f>SUMIFS(Lapse_data!R:R,
        Lapse_data!$A:$A, "&gt;="&amp;DATE($A13,1,1),
        Lapse_data!$A:$A, "&lt;="&amp;DATE($A13,12,31))</f>
        <v>100</v>
      </c>
      <c r="S13">
        <f>SUMIFS(Lapse_data!S:S,
        Lapse_data!$A:$A, "&gt;="&amp;DATE($A13,1,1),
        Lapse_data!$A:$A, "&lt;="&amp;DATE($A13,12,31))</f>
        <v>86</v>
      </c>
      <c r="T13">
        <f>SUMIFS(Lapse_data!T:T,
        Lapse_data!$A:$A, "&gt;="&amp;DATE($A13,1,1),
        Lapse_data!$A:$A, "&lt;="&amp;DATE($A13,12,31))</f>
        <v>81</v>
      </c>
      <c r="U13">
        <f>SUMIFS(Lapse_data!U:U,
        Lapse_data!$A:$A, "&gt;="&amp;DATE($A13,1,1),
        Lapse_data!$A:$A, "&lt;="&amp;DATE($A13,12,31))</f>
        <v>75</v>
      </c>
      <c r="V13">
        <f>SUMIFS(Lapse_data!V:V,
        Lapse_data!$A:$A, "&gt;="&amp;DATE($A13,1,1),
        Lapse_data!$A:$A, "&lt;="&amp;DATE($A13,12,31))</f>
        <v>70</v>
      </c>
      <c r="W13">
        <f>SUMIFS(Lapse_data!W:W,
        Lapse_data!$A:$A, "&gt;="&amp;DATE($A13,1,1),
        Lapse_data!$A:$A, "&lt;="&amp;DATE($A13,12,31))</f>
        <v>72</v>
      </c>
      <c r="X13">
        <f>SUMIFS(Lapse_data!X:X,
        Lapse_data!$A:$A, "&gt;="&amp;DATE($A13,1,1),
        Lapse_data!$A:$A, "&lt;="&amp;DATE($A13,12,31))</f>
        <v>52</v>
      </c>
      <c r="Y13">
        <f>SUMIFS(Lapse_data!Y:Y,
        Lapse_data!$A:$A, "&gt;="&amp;DATE($A13,1,1),
        Lapse_data!$A:$A, "&lt;="&amp;DATE($A13,12,31))</f>
        <v>69</v>
      </c>
      <c r="Z13">
        <f>SUMIFS(Lapse_data!Z:Z,
        Lapse_data!$A:$A, "&gt;="&amp;DATE($A13,1,1),
        Lapse_data!$A:$A, "&lt;="&amp;DATE($A13,12,31))</f>
        <v>65</v>
      </c>
      <c r="AA13">
        <f>SUMIFS(Lapse_data!AA:AA,
        Lapse_data!$A:$A, "&gt;="&amp;DATE($A13,1,1),
        Lapse_data!$A:$A, "&lt;="&amp;DATE($A13,12,31))</f>
        <v>50</v>
      </c>
      <c r="AB13">
        <f>SUMIFS(Lapse_data!AB:AB,
        Lapse_data!$A:$A, "&gt;="&amp;DATE($A13,1,1),
        Lapse_data!$A:$A, "&lt;="&amp;DATE($A13,12,31))</f>
        <v>39</v>
      </c>
      <c r="AC13">
        <f>SUMIFS(Lapse_data!AC:AC,
        Lapse_data!$A:$A, "&gt;="&amp;DATE($A13,1,1),
        Lapse_data!$A:$A, "&lt;="&amp;DATE($A13,12,31))</f>
        <v>39</v>
      </c>
      <c r="AD13">
        <f>SUMIFS(Lapse_data!AD:AD,
        Lapse_data!$A:$A, "&gt;="&amp;DATE($A13,1,1),
        Lapse_data!$A:$A, "&lt;="&amp;DATE($A13,12,31))</f>
        <v>27</v>
      </c>
      <c r="AE13">
        <f>SUMIFS(Lapse_data!AE:AE,
        Lapse_data!$A:$A, "&gt;="&amp;DATE($A13,1,1),
        Lapse_data!$A:$A, "&lt;="&amp;DATE($A13,12,31))</f>
        <v>39</v>
      </c>
      <c r="AF13">
        <f>SUMIFS(Lapse_data!AF:AF,
        Lapse_data!$A:$A, "&gt;="&amp;DATE($A13,1,1),
        Lapse_data!$A:$A, "&lt;="&amp;DATE($A13,12,31))</f>
        <v>34</v>
      </c>
      <c r="AG13">
        <f>SUMIFS(Lapse_data!AG:AG,
        Lapse_data!$A:$A, "&gt;="&amp;DATE($A13,1,1),
        Lapse_data!$A:$A, "&lt;="&amp;DATE($A13,12,31))</f>
        <v>30</v>
      </c>
      <c r="AH13">
        <f>SUMIFS(Lapse_data!AH:AH,
        Lapse_data!$A:$A, "&gt;="&amp;DATE($A13,1,1),
        Lapse_data!$A:$A, "&lt;="&amp;DATE($A13,12,31))</f>
        <v>30</v>
      </c>
      <c r="AI13">
        <f>SUMIFS(Lapse_data!AI:AI,
        Lapse_data!$A:$A, "&gt;="&amp;DATE($A13,1,1),
        Lapse_data!$A:$A, "&lt;="&amp;DATE($A13,12,31))</f>
        <v>30</v>
      </c>
      <c r="AJ13">
        <f>SUMIFS(Lapse_data!AJ:AJ,
        Lapse_data!$A:$A, "&gt;="&amp;DATE($A13,1,1),
        Lapse_data!$A:$A, "&lt;="&amp;DATE($A13,12,31))</f>
        <v>30</v>
      </c>
      <c r="AK13">
        <f>SUMIFS(Lapse_data!AK:AK,
        Lapse_data!$A:$A, "&gt;="&amp;DATE($A13,1,1),
        Lapse_data!$A:$A, "&lt;="&amp;DATE($A13,12,31))</f>
        <v>32</v>
      </c>
      <c r="AL13">
        <f>SUMIFS(Lapse_data!AL:AL,
        Lapse_data!$A:$A, "&gt;="&amp;DATE($A13,1,1),
        Lapse_data!$A:$A, "&lt;="&amp;DATE($A13,12,31))</f>
        <v>25</v>
      </c>
      <c r="AM13">
        <f>SUMIFS(Lapse_data!AM:AM,
        Lapse_data!$A:$A, "&gt;="&amp;DATE($A13,1,1),
        Lapse_data!$A:$A, "&lt;="&amp;DATE($A13,12,31))</f>
        <v>18</v>
      </c>
      <c r="AN13">
        <f>SUMIFS(Lapse_data!AN:AN,
        Lapse_data!$A:$A, "&gt;="&amp;DATE($A13,1,1),
        Lapse_data!$A:$A, "&lt;="&amp;DATE($A13,12,31))</f>
        <v>17</v>
      </c>
      <c r="AO13">
        <f>SUMIFS(Lapse_data!AO:AO,
        Lapse_data!$A:$A, "&gt;="&amp;DATE($A13,1,1),
        Lapse_data!$A:$A, "&lt;="&amp;DATE($A13,12,31))</f>
        <v>15</v>
      </c>
      <c r="AP13">
        <f>SUMIFS(Lapse_data!AP:AP,
        Lapse_data!$A:$A, "&gt;="&amp;DATE($A13,1,1),
        Lapse_data!$A:$A, "&lt;="&amp;DATE($A13,12,31))</f>
        <v>13</v>
      </c>
      <c r="AQ13">
        <f>SUMIFS(Lapse_data!AQ:AQ,
        Lapse_data!$A:$A, "&gt;="&amp;DATE($A13,1,1),
        Lapse_data!$A:$A, "&lt;="&amp;DATE($A13,12,31))</f>
        <v>21</v>
      </c>
      <c r="AR13">
        <f>SUMIFS(Lapse_data!AR:AR,
        Lapse_data!$A:$A, "&gt;="&amp;DATE($A13,1,1),
        Lapse_data!$A:$A, "&lt;="&amp;DATE($A13,12,31))</f>
        <v>20</v>
      </c>
      <c r="AS13">
        <f>SUMIFS(Lapse_data!AS:AS,
        Lapse_data!$A:$A, "&gt;="&amp;DATE($A13,1,1),
        Lapse_data!$A:$A, "&lt;="&amp;DATE($A13,12,31))</f>
        <v>12</v>
      </c>
      <c r="AT13">
        <f>SUMIFS(Lapse_data!AT:AT,
        Lapse_data!$A:$A, "&gt;="&amp;DATE($A13,1,1),
        Lapse_data!$A:$A, "&lt;="&amp;DATE($A13,12,31))</f>
        <v>9</v>
      </c>
      <c r="AU13">
        <f>SUMIFS(Lapse_data!AU:AU,
        Lapse_data!$A:$A, "&gt;="&amp;DATE($A13,1,1),
        Lapse_data!$A:$A, "&lt;="&amp;DATE($A13,12,31))</f>
        <v>12</v>
      </c>
      <c r="AV13">
        <f>SUMIFS(Lapse_data!AV:AV,
        Lapse_data!$A:$A, "&gt;="&amp;DATE($A13,1,1),
        Lapse_data!$A:$A, "&lt;="&amp;DATE($A13,12,31))</f>
        <v>11</v>
      </c>
      <c r="AW13">
        <f>SUMIFS(Lapse_data!AW:AW,
        Lapse_data!$A:$A, "&gt;="&amp;DATE($A13,1,1),
        Lapse_data!$A:$A, "&lt;="&amp;DATE($A13,12,31))</f>
        <v>9</v>
      </c>
      <c r="AX13">
        <f>SUMIFS(Lapse_data!AX:AX,
        Lapse_data!$A:$A, "&gt;="&amp;DATE($A13,1,1),
        Lapse_data!$A:$A, "&lt;="&amp;DATE($A13,12,31))</f>
        <v>17</v>
      </c>
      <c r="AY13">
        <f>SUMIFS(Lapse_data!AY:AY,
        Lapse_data!$A:$A, "&gt;="&amp;DATE($A13,1,1),
        Lapse_data!$A:$A, "&lt;="&amp;DATE($A13,12,31))</f>
        <v>14</v>
      </c>
      <c r="AZ13">
        <f>SUMIFS(Lapse_data!AZ:AZ,
        Lapse_data!$A:$A, "&gt;="&amp;DATE($A13,1,1),
        Lapse_data!$A:$A, "&lt;="&amp;DATE($A13,12,31))</f>
        <v>15</v>
      </c>
      <c r="BA13">
        <f>SUMIFS(Lapse_data!BA:BA,
        Lapse_data!$A:$A, "&gt;="&amp;DATE($A13,1,1),
        Lapse_data!$A:$A, "&lt;="&amp;DATE($A13,12,31))</f>
        <v>8</v>
      </c>
      <c r="BB13">
        <f>SUMIFS(Lapse_data!BB:BB,
        Lapse_data!$A:$A, "&gt;="&amp;DATE($A13,1,1),
        Lapse_data!$A:$A, "&lt;="&amp;DATE($A13,12,31))</f>
        <v>6</v>
      </c>
      <c r="BC13">
        <f>SUMIFS(Lapse_data!BC:BC,
        Lapse_data!$A:$A, "&gt;="&amp;DATE($A13,1,1),
        Lapse_data!$A:$A, "&lt;="&amp;DATE($A13,12,31))</f>
        <v>6</v>
      </c>
      <c r="BD13">
        <f>SUMIFS(Lapse_data!BD:BD,
        Lapse_data!$A:$A, "&gt;="&amp;DATE($A13,1,1),
        Lapse_data!$A:$A, "&lt;="&amp;DATE($A13,12,31))</f>
        <v>4</v>
      </c>
      <c r="BE13">
        <f>SUMIFS(Lapse_data!BE:BE,
        Lapse_data!$A:$A, "&gt;="&amp;DATE($A13,1,1),
        Lapse_data!$A:$A, "&lt;="&amp;DATE($A13,12,31))</f>
        <v>0</v>
      </c>
      <c r="BF13">
        <f>SUMIFS(Lapse_data!BF:BF,
        Lapse_data!$A:$A, "&gt;="&amp;DATE($A13,1,1),
        Lapse_data!$A:$A, "&lt;="&amp;DATE($A13,12,31))</f>
        <v>6</v>
      </c>
      <c r="BG13">
        <f>SUMIFS(Lapse_data!BG:BG,
        Lapse_data!$A:$A, "&gt;="&amp;DATE($A13,1,1),
        Lapse_data!$A:$A, "&lt;="&amp;DATE($A13,12,31))</f>
        <v>1</v>
      </c>
      <c r="BH13">
        <f>SUMIFS(Lapse_data!BH:BH,
        Lapse_data!$A:$A, "&gt;="&amp;DATE($A13,1,1),
        Lapse_data!$A:$A, "&lt;="&amp;DATE($A13,12,31))</f>
        <v>2</v>
      </c>
      <c r="BI13">
        <f>SUMIFS(Lapse_data!BI:BI,
        Lapse_data!$A:$A, "&gt;="&amp;DATE($A13,1,1),
        Lapse_data!$A:$A, "&lt;="&amp;DATE($A13,12,31))</f>
        <v>1</v>
      </c>
      <c r="BJ13">
        <f>SUMIFS(Lapse_data!BJ:BJ,
        Lapse_data!$A:$A, "&gt;="&amp;DATE($A13,1,1),
        Lapse_data!$A:$A, "&lt;="&amp;DATE($A13,12,31))</f>
        <v>0</v>
      </c>
      <c r="BK13">
        <f>SUMIFS(Lapse_data!BK:BK,
        Lapse_data!$A:$A, "&gt;="&amp;DATE($A13,1,1),
        Lapse_data!$A:$A, "&lt;="&amp;DATE($A13,12,31))</f>
        <v>0</v>
      </c>
      <c r="BL13">
        <f>SUMIFS(Lapse_data!BL:BL,
        Lapse_data!$A:$A, "&gt;="&amp;DATE($A13,1,1),
        Lapse_data!$A:$A, "&lt;="&amp;DATE($A13,12,31))</f>
        <v>0</v>
      </c>
      <c r="BM13">
        <f>SUMIFS(Lapse_data!BM:BM,
        Lapse_data!$A:$A, "&gt;="&amp;DATE($A13,1,1),
        Lapse_data!$A:$A, "&lt;="&amp;DATE($A13,12,31))</f>
        <v>0</v>
      </c>
      <c r="BN13">
        <f>SUMIFS(Lapse_data!BN:BN,
        Lapse_data!$A:$A, "&gt;="&amp;DATE($A13,1,1),
        Lapse_data!$A:$A, "&lt;="&amp;DATE($A13,12,31))</f>
        <v>0</v>
      </c>
      <c r="BO13">
        <f>SUMIFS(Lapse_data!BO:BO,
        Lapse_data!$A:$A, "&gt;="&amp;DATE($A13,1,1),
        Lapse_data!$A:$A, "&lt;="&amp;DATE($A13,12,31))</f>
        <v>0</v>
      </c>
      <c r="BP13">
        <f>SUMIFS(Lapse_data!BP:BP,
        Lapse_data!$A:$A, "&gt;="&amp;DATE($A13,1,1),
        Lapse_data!$A:$A, "&lt;="&amp;DATE($A13,12,31))</f>
        <v>0</v>
      </c>
      <c r="BQ13">
        <f>SUMIFS(Lapse_data!BQ:BQ,
        Lapse_data!$A:$A, "&gt;="&amp;DATE($A13,1,1),
        Lapse_data!$A:$A, "&lt;="&amp;DATE($A13,12,31))</f>
        <v>0</v>
      </c>
      <c r="BR13">
        <f>SUMIFS(Lapse_data!BR:BR,
        Lapse_data!$A:$A, "&gt;="&amp;DATE($A13,1,1),
        Lapse_data!$A:$A, "&lt;="&amp;DATE($A13,12,31))</f>
        <v>0</v>
      </c>
      <c r="BS13">
        <f>SUMIFS(Lapse_data!BS:BS,
        Lapse_data!$A:$A, "&gt;="&amp;DATE($A13,1,1),
        Lapse_data!$A:$A, "&lt;="&amp;DATE($A13,12,31))</f>
        <v>0</v>
      </c>
      <c r="BT13">
        <f>SUMIFS(Lapse_data!BT:BT,
        Lapse_data!$A:$A, "&gt;="&amp;DATE($A13,1,1),
        Lapse_data!$A:$A, "&lt;="&amp;DATE($A13,12,31))</f>
        <v>0</v>
      </c>
      <c r="BU13">
        <f>SUMIFS(Lapse_data!BU:BU,
        Lapse_data!$A:$A, "&gt;="&amp;DATE($A13,1,1),
        Lapse_data!$A:$A, "&lt;="&amp;DATE($A13,12,31))</f>
        <v>0</v>
      </c>
      <c r="BV13">
        <f>SUMIFS(Lapse_data!BV:BV,
        Lapse_data!$A:$A, "&gt;="&amp;DATE($A13,1,1),
        Lapse_data!$A:$A, "&lt;="&amp;DATE($A13,12,31))</f>
        <v>0</v>
      </c>
      <c r="BW13">
        <f>SUMIFS(Lapse_data!BW:BW,
        Lapse_data!$A:$A, "&gt;="&amp;DATE($A13,1,1),
        Lapse_data!$A:$A, "&lt;="&amp;DATE($A13,12,31))</f>
        <v>0</v>
      </c>
      <c r="BX13">
        <f>SUMIFS(Lapse_data!BX:BX,
        Lapse_data!$A:$A, "&gt;="&amp;DATE($A13,1,1),
        Lapse_data!$A:$A, "&lt;="&amp;DATE($A13,12,31))</f>
        <v>0</v>
      </c>
      <c r="BY13">
        <f>SUMIFS(Lapse_data!BY:BY,
        Lapse_data!$A:$A, "&gt;="&amp;DATE($A13,1,1),
        Lapse_data!$A:$A, "&lt;="&amp;DATE($A13,12,31))</f>
        <v>0</v>
      </c>
      <c r="BZ13">
        <f>SUMIFS(Lapse_data!BZ:BZ,
        Lapse_data!$A:$A, "&gt;="&amp;DATE($A13,1,1),
        Lapse_data!$A:$A, "&lt;="&amp;DATE($A13,12,31))</f>
        <v>0</v>
      </c>
      <c r="CA13">
        <f>SUMIFS(Lapse_data!CA:CA,
        Lapse_data!$A:$A, "&gt;="&amp;DATE($A13,1,1),
        Lapse_data!$A:$A, "&lt;="&amp;DATE($A13,12,31))</f>
        <v>0</v>
      </c>
      <c r="CB13">
        <f>SUMIFS(Lapse_data!CB:CB,
        Lapse_data!$A:$A, "&gt;="&amp;DATE($A13,1,1),
        Lapse_data!$A:$A, "&lt;="&amp;DATE($A13,12,31))</f>
        <v>0</v>
      </c>
      <c r="CC13">
        <f>SUMIFS(Lapse_data!CC:CC,
        Lapse_data!$A:$A, "&gt;="&amp;DATE($A13,1,1),
        Lapse_data!$A:$A, "&lt;="&amp;DATE($A13,12,31))</f>
        <v>0</v>
      </c>
      <c r="CD13">
        <f>SUMIFS(Lapse_data!CD:CD,
        Lapse_data!$A:$A, "&gt;="&amp;DATE($A13,1,1),
        Lapse_data!$A:$A, "&lt;="&amp;DATE($A13,12,31))</f>
        <v>0</v>
      </c>
      <c r="CE13">
        <f>SUMIFS(Lapse_data!CE:CE,
        Lapse_data!$A:$A, "&gt;="&amp;DATE($A13,1,1),
        Lapse_data!$A:$A, "&lt;="&amp;DATE($A13,12,31))</f>
        <v>0</v>
      </c>
      <c r="CF13">
        <f>SUMIFS(Lapse_data!CF:CF,
        Lapse_data!$A:$A, "&gt;="&amp;DATE($A13,1,1),
        Lapse_data!$A:$A, "&lt;="&amp;DATE($A13,12,31))</f>
        <v>0</v>
      </c>
      <c r="CG13">
        <f>SUMIFS(Lapse_data!CG:CG,
        Lapse_data!$A:$A, "&gt;="&amp;DATE($A13,1,1),
        Lapse_data!$A:$A, "&lt;="&amp;DATE($A13,12,31))</f>
        <v>0</v>
      </c>
      <c r="CH13">
        <f>SUMIFS(Lapse_data!CH:CH,
        Lapse_data!$A:$A, "&gt;="&amp;DATE($A13,1,1),
        Lapse_data!$A:$A, "&lt;="&amp;DATE($A13,12,31))</f>
        <v>0</v>
      </c>
      <c r="CI13">
        <f>SUMIFS(Lapse_data!CI:CI,
        Lapse_data!$A:$A, "&gt;="&amp;DATE($A13,1,1),
        Lapse_data!$A:$A, "&lt;="&amp;DATE($A13,12,31))</f>
        <v>0</v>
      </c>
      <c r="CJ13">
        <f>SUMIFS(Lapse_data!CJ:CJ,
        Lapse_data!$A:$A, "&gt;="&amp;DATE($A13,1,1),
        Lapse_data!$A:$A, "&lt;="&amp;DATE($A13,12,31))</f>
        <v>0</v>
      </c>
      <c r="CK13">
        <f>SUMIFS(Lapse_data!CK:CK,
        Lapse_data!$A:$A, "&gt;="&amp;DATE($A13,1,1),
        Lapse_data!$A:$A, "&lt;="&amp;DATE($A13,12,31))</f>
        <v>0</v>
      </c>
      <c r="CL13">
        <f>SUMIFS(Lapse_data!CL:CL,
        Lapse_data!$A:$A, "&gt;="&amp;DATE($A13,1,1),
        Lapse_data!$A:$A, "&lt;="&amp;DATE($A13,12,31))</f>
        <v>0</v>
      </c>
      <c r="CM13">
        <f>SUMIFS(Lapse_data!CM:CM,
        Lapse_data!$A:$A, "&gt;="&amp;DATE($A13,1,1),
        Lapse_data!$A:$A, "&lt;="&amp;DATE($A13,12,31))</f>
        <v>0</v>
      </c>
      <c r="CN13">
        <f>SUMIFS(Lapse_data!CN:CN,
        Lapse_data!$A:$A, "&gt;="&amp;DATE($A13,1,1),
        Lapse_data!$A:$A, "&lt;="&amp;DATE($A13,12,31))</f>
        <v>0</v>
      </c>
      <c r="CO13">
        <f>SUMIFS(Lapse_data!CO:CO,
        Lapse_data!$A:$A, "&gt;="&amp;DATE($A13,1,1),
        Lapse_data!$A:$A, "&lt;="&amp;DATE($A13,12,31))</f>
        <v>0</v>
      </c>
      <c r="CP13">
        <f>SUMIFS(Lapse_data!CP:CP,
        Lapse_data!$A:$A, "&gt;="&amp;DATE($A13,1,1),
        Lapse_data!$A:$A, "&lt;="&amp;DATE($A13,12,31))</f>
        <v>0</v>
      </c>
      <c r="CQ13">
        <f>SUMIFS(Lapse_data!CQ:CQ,
        Lapse_data!$A:$A, "&gt;="&amp;DATE($A13,1,1),
        Lapse_data!$A:$A, "&lt;="&amp;DATE($A13,12,31))</f>
        <v>0</v>
      </c>
      <c r="CR13">
        <f>SUMIFS(Lapse_data!CR:CR,
        Lapse_data!$A:$A, "&gt;="&amp;DATE($A13,1,1),
        Lapse_data!$A:$A, "&lt;="&amp;DATE($A13,12,31))</f>
        <v>0</v>
      </c>
      <c r="CS13">
        <f>SUMIFS(Lapse_data!CS:CS,
        Lapse_data!$A:$A, "&gt;="&amp;DATE($A13,1,1),
        Lapse_data!$A:$A, "&lt;="&amp;DATE($A13,12,31))</f>
        <v>0</v>
      </c>
      <c r="CT13">
        <f>SUMIFS(Lapse_data!CT:CT,
        Lapse_data!$A:$A, "&gt;="&amp;DATE($A13,1,1),
        Lapse_data!$A:$A, "&lt;="&amp;DATE($A13,12,31))</f>
        <v>0</v>
      </c>
      <c r="CU13">
        <f>SUMIFS(Lapse_data!CU:CU,
        Lapse_data!$A:$A, "&gt;="&amp;DATE($A13,1,1),
        Lapse_data!$A:$A, "&lt;="&amp;DATE($A13,12,31))</f>
        <v>0</v>
      </c>
      <c r="CV13">
        <f>SUMIFS(Lapse_data!CV:CV,
        Lapse_data!$A:$A, "&gt;="&amp;DATE($A13,1,1),
        Lapse_data!$A:$A, "&lt;="&amp;DATE($A13,12,31))</f>
        <v>0</v>
      </c>
      <c r="CW13">
        <f>SUMIFS(Lapse_data!CW:CW,
        Lapse_data!$A:$A, "&gt;="&amp;DATE($A13,1,1),
        Lapse_data!$A:$A, "&lt;="&amp;DATE($A13,12,31))</f>
        <v>0</v>
      </c>
      <c r="CX13">
        <f>SUMIFS(Lapse_data!CX:CX,
        Lapse_data!$A:$A, "&gt;="&amp;DATE($A13,1,1),
        Lapse_data!$A:$A, "&lt;="&amp;DATE($A13,12,31))</f>
        <v>0</v>
      </c>
      <c r="CY13">
        <f>SUMIFS(Lapse_data!CY:CY,
        Lapse_data!$A:$A, "&gt;="&amp;DATE($A13,1,1),
        Lapse_data!$A:$A, "&lt;="&amp;DATE($A13,12,31))</f>
        <v>0</v>
      </c>
      <c r="CZ13">
        <f>SUMIFS(Lapse_data!CZ:CZ,
        Lapse_data!$A:$A, "&gt;="&amp;DATE($A13,1,1),
        Lapse_data!$A:$A, "&lt;="&amp;DATE($A13,12,31))</f>
        <v>0</v>
      </c>
      <c r="DA13">
        <f>SUMIFS(Lapse_data!DA:DA,
        Lapse_data!$A:$A, "&gt;="&amp;DATE($A13,1,1),
        Lapse_data!$A:$A, "&lt;="&amp;DATE($A13,12,31))</f>
        <v>0</v>
      </c>
      <c r="DB13">
        <f>SUMIFS(Lapse_data!DB:DB,
        Lapse_data!$A:$A, "&gt;="&amp;DATE($A13,1,1),
        Lapse_data!$A:$A, "&lt;="&amp;DATE($A13,12,31))</f>
        <v>0</v>
      </c>
      <c r="DC13">
        <f>SUMIFS(Lapse_data!DC:DC,
        Lapse_data!$A:$A, "&gt;="&amp;DATE($A13,1,1),
        Lapse_data!$A:$A, "&lt;="&amp;DATE($A13,12,31))</f>
        <v>0</v>
      </c>
      <c r="DD13">
        <f>SUMIFS(Lapse_data!DD:DD,
        Lapse_data!$A:$A, "&gt;="&amp;DATE($A13,1,1),
        Lapse_data!$A:$A, "&lt;="&amp;DATE($A13,12,31))</f>
        <v>0</v>
      </c>
      <c r="DE13">
        <f>SUMIFS(Lapse_data!DE:DE,
        Lapse_data!$A:$A, "&gt;="&amp;DATE($A13,1,1),
        Lapse_data!$A:$A, "&lt;="&amp;DATE($A13,12,31))</f>
        <v>0</v>
      </c>
      <c r="DF13">
        <f>SUMIFS(Lapse_data!DF:DF,
        Lapse_data!$A:$A, "&gt;="&amp;DATE($A13,1,1),
        Lapse_data!$A:$A, "&lt;="&amp;DATE($A13,12,31))</f>
        <v>0</v>
      </c>
      <c r="DG13">
        <f>SUMIFS(Lapse_data!DG:DG,
        Lapse_data!$A:$A, "&gt;="&amp;DATE($A13,1,1),
        Lapse_data!$A:$A, "&lt;="&amp;DATE($A13,12,31))</f>
        <v>0</v>
      </c>
      <c r="DH13">
        <f>SUMIFS(Lapse_data!DH:DH,
        Lapse_data!$A:$A, "&gt;="&amp;DATE($A13,1,1),
        Lapse_data!$A:$A, "&lt;="&amp;DATE($A13,12,31))</f>
        <v>0</v>
      </c>
      <c r="DI13">
        <f>SUMIFS(Lapse_data!DI:DI,
        Lapse_data!$A:$A, "&gt;="&amp;DATE($A13,1,1),
        Lapse_data!$A:$A, "&lt;="&amp;DATE($A13,12,31))</f>
        <v>0</v>
      </c>
      <c r="DJ13">
        <f>SUMIFS(Lapse_data!DJ:DJ,
        Lapse_data!$A:$A, "&gt;="&amp;DATE($A13,1,1),
        Lapse_data!$A:$A, "&lt;="&amp;DATE($A13,12,31))</f>
        <v>0</v>
      </c>
      <c r="DK13">
        <f>SUMIFS(Lapse_data!DK:DK,
        Lapse_data!$A:$A, "&gt;="&amp;DATE($A13,1,1),
        Lapse_data!$A:$A, "&lt;="&amp;DATE($A13,12,31))</f>
        <v>0</v>
      </c>
      <c r="DL13">
        <f>SUMIFS(Lapse_data!DL:DL,
        Lapse_data!$A:$A, "&gt;="&amp;DATE($A13,1,1),
        Lapse_data!$A:$A, "&lt;="&amp;DATE($A13,12,31))</f>
        <v>0</v>
      </c>
      <c r="DM13">
        <f>SUMIFS(Lapse_data!DM:DM,
        Lapse_data!$A:$A, "&gt;="&amp;DATE($A13,1,1),
        Lapse_data!$A:$A, "&lt;="&amp;DATE($A13,12,31))</f>
        <v>0</v>
      </c>
      <c r="DN13">
        <f>SUMIFS(Lapse_data!DN:DN,
        Lapse_data!$A:$A, "&gt;="&amp;DATE($A13,1,1),
        Lapse_data!$A:$A, "&lt;="&amp;DATE($A13,12,31))</f>
        <v>0</v>
      </c>
      <c r="DO13">
        <f>SUMIFS(Lapse_data!DO:DO,
        Lapse_data!$A:$A, "&gt;="&amp;DATE($A13,1,1),
        Lapse_data!$A:$A, "&lt;="&amp;DATE($A13,12,31))</f>
        <v>0</v>
      </c>
      <c r="DP13">
        <f>SUMIFS(Lapse_data!DP:DP,
        Lapse_data!$A:$A, "&gt;="&amp;DATE($A13,1,1),
        Lapse_data!$A:$A, "&lt;="&amp;DATE($A13,12,31))</f>
        <v>0</v>
      </c>
      <c r="DQ13">
        <f>SUMIFS(Lapse_data!DQ:DQ,
        Lapse_data!$A:$A, "&gt;="&amp;DATE($A13,1,1),
        Lapse_data!$A:$A, "&lt;="&amp;DATE($A13,12,31))</f>
        <v>0</v>
      </c>
    </row>
    <row r="14" spans="1:121" x14ac:dyDescent="0.35">
      <c r="A14" s="10">
        <v>2021</v>
      </c>
      <c r="B14">
        <f>SUMIFS(Lapse_data!B:B,
        Lapse_data!$A:$A, "&gt;="&amp;DATE($A14,1,1),
        Lapse_data!$A:$A, "&lt;="&amp;DATE($A14,12,31))</f>
        <v>249</v>
      </c>
      <c r="C14">
        <f>SUMIFS(Lapse_data!C:C,
        Lapse_data!$A:$A, "&gt;="&amp;DATE($A14,1,1),
        Lapse_data!$A:$A, "&lt;="&amp;DATE($A14,12,31))</f>
        <v>196</v>
      </c>
      <c r="D14">
        <f>SUMIFS(Lapse_data!D:D,
        Lapse_data!$A:$A, "&gt;="&amp;DATE($A14,1,1),
        Lapse_data!$A:$A, "&lt;="&amp;DATE($A14,12,31))</f>
        <v>334</v>
      </c>
      <c r="E14">
        <f>SUMIFS(Lapse_data!E:E,
        Lapse_data!$A:$A, "&gt;="&amp;DATE($A14,1,1),
        Lapse_data!$A:$A, "&lt;="&amp;DATE($A14,12,31))</f>
        <v>123</v>
      </c>
      <c r="F14">
        <f>SUMIFS(Lapse_data!F:F,
        Lapse_data!$A:$A, "&gt;="&amp;DATE($A14,1,1),
        Lapse_data!$A:$A, "&lt;="&amp;DATE($A14,12,31))</f>
        <v>125</v>
      </c>
      <c r="G14">
        <f>SUMIFS(Lapse_data!G:G,
        Lapse_data!$A:$A, "&gt;="&amp;DATE($A14,1,1),
        Lapse_data!$A:$A, "&lt;="&amp;DATE($A14,12,31))</f>
        <v>106</v>
      </c>
      <c r="H14">
        <f>SUMIFS(Lapse_data!H:H,
        Lapse_data!$A:$A, "&gt;="&amp;DATE($A14,1,1),
        Lapse_data!$A:$A, "&lt;="&amp;DATE($A14,12,31))</f>
        <v>88</v>
      </c>
      <c r="I14">
        <f>SUMIFS(Lapse_data!I:I,
        Lapse_data!$A:$A, "&gt;="&amp;DATE($A14,1,1),
        Lapse_data!$A:$A, "&lt;="&amp;DATE($A14,12,31))</f>
        <v>75</v>
      </c>
      <c r="J14">
        <f>SUMIFS(Lapse_data!J:J,
        Lapse_data!$A:$A, "&gt;="&amp;DATE($A14,1,1),
        Lapse_data!$A:$A, "&lt;="&amp;DATE($A14,12,31))</f>
        <v>83</v>
      </c>
      <c r="K14">
        <f>SUMIFS(Lapse_data!K:K,
        Lapse_data!$A:$A, "&gt;="&amp;DATE($A14,1,1),
        Lapse_data!$A:$A, "&lt;="&amp;DATE($A14,12,31))</f>
        <v>59</v>
      </c>
      <c r="L14">
        <f>SUMIFS(Lapse_data!L:L,
        Lapse_data!$A:$A, "&gt;="&amp;DATE($A14,1,1),
        Lapse_data!$A:$A, "&lt;="&amp;DATE($A14,12,31))</f>
        <v>67</v>
      </c>
      <c r="M14">
        <f>SUMIFS(Lapse_data!M:M,
        Lapse_data!$A:$A, "&gt;="&amp;DATE($A14,1,1),
        Lapse_data!$A:$A, "&lt;="&amp;DATE($A14,12,31))</f>
        <v>49</v>
      </c>
      <c r="N14">
        <f>SUMIFS(Lapse_data!N:N,
        Lapse_data!$A:$A, "&gt;="&amp;DATE($A14,1,1),
        Lapse_data!$A:$A, "&lt;="&amp;DATE($A14,12,31))</f>
        <v>56</v>
      </c>
      <c r="O14">
        <f>SUMIFS(Lapse_data!O:O,
        Lapse_data!$A:$A, "&gt;="&amp;DATE($A14,1,1),
        Lapse_data!$A:$A, "&lt;="&amp;DATE($A14,12,31))</f>
        <v>39</v>
      </c>
      <c r="P14">
        <f>SUMIFS(Lapse_data!P:P,
        Lapse_data!$A:$A, "&gt;="&amp;DATE($A14,1,1),
        Lapse_data!$A:$A, "&lt;="&amp;DATE($A14,12,31))</f>
        <v>39</v>
      </c>
      <c r="Q14">
        <f>SUMIFS(Lapse_data!Q:Q,
        Lapse_data!$A:$A, "&gt;="&amp;DATE($A14,1,1),
        Lapse_data!$A:$A, "&lt;="&amp;DATE($A14,12,31))</f>
        <v>34</v>
      </c>
      <c r="R14">
        <f>SUMIFS(Lapse_data!R:R,
        Lapse_data!$A:$A, "&gt;="&amp;DATE($A14,1,1),
        Lapse_data!$A:$A, "&lt;="&amp;DATE($A14,12,31))</f>
        <v>18</v>
      </c>
      <c r="S14">
        <f>SUMIFS(Lapse_data!S:S,
        Lapse_data!$A:$A, "&gt;="&amp;DATE($A14,1,1),
        Lapse_data!$A:$A, "&lt;="&amp;DATE($A14,12,31))</f>
        <v>30</v>
      </c>
      <c r="T14">
        <f>SUMIFS(Lapse_data!T:T,
        Lapse_data!$A:$A, "&gt;="&amp;DATE($A14,1,1),
        Lapse_data!$A:$A, "&lt;="&amp;DATE($A14,12,31))</f>
        <v>20</v>
      </c>
      <c r="U14">
        <f>SUMIFS(Lapse_data!U:U,
        Lapse_data!$A:$A, "&gt;="&amp;DATE($A14,1,1),
        Lapse_data!$A:$A, "&lt;="&amp;DATE($A14,12,31))</f>
        <v>19</v>
      </c>
      <c r="V14">
        <f>SUMIFS(Lapse_data!V:V,
        Lapse_data!$A:$A, "&gt;="&amp;DATE($A14,1,1),
        Lapse_data!$A:$A, "&lt;="&amp;DATE($A14,12,31))</f>
        <v>14</v>
      </c>
      <c r="W14">
        <f>SUMIFS(Lapse_data!W:W,
        Lapse_data!$A:$A, "&gt;="&amp;DATE($A14,1,1),
        Lapse_data!$A:$A, "&lt;="&amp;DATE($A14,12,31))</f>
        <v>15</v>
      </c>
      <c r="X14">
        <f>SUMIFS(Lapse_data!X:X,
        Lapse_data!$A:$A, "&gt;="&amp;DATE($A14,1,1),
        Lapse_data!$A:$A, "&lt;="&amp;DATE($A14,12,31))</f>
        <v>15</v>
      </c>
      <c r="Y14">
        <f>SUMIFS(Lapse_data!Y:Y,
        Lapse_data!$A:$A, "&gt;="&amp;DATE($A14,1,1),
        Lapse_data!$A:$A, "&lt;="&amp;DATE($A14,12,31))</f>
        <v>15</v>
      </c>
      <c r="Z14">
        <f>SUMIFS(Lapse_data!Z:Z,
        Lapse_data!$A:$A, "&gt;="&amp;DATE($A14,1,1),
        Lapse_data!$A:$A, "&lt;="&amp;DATE($A14,12,31))</f>
        <v>10</v>
      </c>
      <c r="AA14">
        <f>SUMIFS(Lapse_data!AA:AA,
        Lapse_data!$A:$A, "&gt;="&amp;DATE($A14,1,1),
        Lapse_data!$A:$A, "&lt;="&amp;DATE($A14,12,31))</f>
        <v>12</v>
      </c>
      <c r="AB14">
        <f>SUMIFS(Lapse_data!AB:AB,
        Lapse_data!$A:$A, "&gt;="&amp;DATE($A14,1,1),
        Lapse_data!$A:$A, "&lt;="&amp;DATE($A14,12,31))</f>
        <v>17</v>
      </c>
      <c r="AC14">
        <f>SUMIFS(Lapse_data!AC:AC,
        Lapse_data!$A:$A, "&gt;="&amp;DATE($A14,1,1),
        Lapse_data!$A:$A, "&lt;="&amp;DATE($A14,12,31))</f>
        <v>9</v>
      </c>
      <c r="AD14">
        <f>SUMIFS(Lapse_data!AD:AD,
        Lapse_data!$A:$A, "&gt;="&amp;DATE($A14,1,1),
        Lapse_data!$A:$A, "&lt;="&amp;DATE($A14,12,31))</f>
        <v>16</v>
      </c>
      <c r="AE14">
        <f>SUMIFS(Lapse_data!AE:AE,
        Lapse_data!$A:$A, "&gt;="&amp;DATE($A14,1,1),
        Lapse_data!$A:$A, "&lt;="&amp;DATE($A14,12,31))</f>
        <v>6</v>
      </c>
      <c r="AF14">
        <f>SUMIFS(Lapse_data!AF:AF,
        Lapse_data!$A:$A, "&gt;="&amp;DATE($A14,1,1),
        Lapse_data!$A:$A, "&lt;="&amp;DATE($A14,12,31))</f>
        <v>10</v>
      </c>
      <c r="AG14">
        <f>SUMIFS(Lapse_data!AG:AG,
        Lapse_data!$A:$A, "&gt;="&amp;DATE($A14,1,1),
        Lapse_data!$A:$A, "&lt;="&amp;DATE($A14,12,31))</f>
        <v>11</v>
      </c>
      <c r="AH14">
        <f>SUMIFS(Lapse_data!AH:AH,
        Lapse_data!$A:$A, "&gt;="&amp;DATE($A14,1,1),
        Lapse_data!$A:$A, "&lt;="&amp;DATE($A14,12,31))</f>
        <v>7</v>
      </c>
      <c r="AI14">
        <f>SUMIFS(Lapse_data!AI:AI,
        Lapse_data!$A:$A, "&gt;="&amp;DATE($A14,1,1),
        Lapse_data!$A:$A, "&lt;="&amp;DATE($A14,12,31))</f>
        <v>6</v>
      </c>
      <c r="AJ14">
        <f>SUMIFS(Lapse_data!AJ:AJ,
        Lapse_data!$A:$A, "&gt;="&amp;DATE($A14,1,1),
        Lapse_data!$A:$A, "&lt;="&amp;DATE($A14,12,31))</f>
        <v>7</v>
      </c>
      <c r="AK14">
        <f>SUMIFS(Lapse_data!AK:AK,
        Lapse_data!$A:$A, "&gt;="&amp;DATE($A14,1,1),
        Lapse_data!$A:$A, "&lt;="&amp;DATE($A14,12,31))</f>
        <v>12</v>
      </c>
      <c r="AL14">
        <f>SUMIFS(Lapse_data!AL:AL,
        Lapse_data!$A:$A, "&gt;="&amp;DATE($A14,1,1),
        Lapse_data!$A:$A, "&lt;="&amp;DATE($A14,12,31))</f>
        <v>6</v>
      </c>
      <c r="AM14">
        <f>SUMIFS(Lapse_data!AM:AM,
        Lapse_data!$A:$A, "&gt;="&amp;DATE($A14,1,1),
        Lapse_data!$A:$A, "&lt;="&amp;DATE($A14,12,31))</f>
        <v>10</v>
      </c>
      <c r="AN14">
        <f>SUMIFS(Lapse_data!AN:AN,
        Lapse_data!$A:$A, "&gt;="&amp;DATE($A14,1,1),
        Lapse_data!$A:$A, "&lt;="&amp;DATE($A14,12,31))</f>
        <v>5</v>
      </c>
      <c r="AO14">
        <f>SUMIFS(Lapse_data!AO:AO,
        Lapse_data!$A:$A, "&gt;="&amp;DATE($A14,1,1),
        Lapse_data!$A:$A, "&lt;="&amp;DATE($A14,12,31))</f>
        <v>4</v>
      </c>
      <c r="AP14">
        <f>SUMIFS(Lapse_data!AP:AP,
        Lapse_data!$A:$A, "&gt;="&amp;DATE($A14,1,1),
        Lapse_data!$A:$A, "&lt;="&amp;DATE($A14,12,31))</f>
        <v>3</v>
      </c>
      <c r="AQ14">
        <f>SUMIFS(Lapse_data!AQ:AQ,
        Lapse_data!$A:$A, "&gt;="&amp;DATE($A14,1,1),
        Lapse_data!$A:$A, "&lt;="&amp;DATE($A14,12,31))</f>
        <v>3</v>
      </c>
      <c r="AR14">
        <f>SUMIFS(Lapse_data!AR:AR,
        Lapse_data!$A:$A, "&gt;="&amp;DATE($A14,1,1),
        Lapse_data!$A:$A, "&lt;="&amp;DATE($A14,12,31))</f>
        <v>2</v>
      </c>
      <c r="AS14">
        <f>SUMIFS(Lapse_data!AS:AS,
        Lapse_data!$A:$A, "&gt;="&amp;DATE($A14,1,1),
        Lapse_data!$A:$A, "&lt;="&amp;DATE($A14,12,31))</f>
        <v>2</v>
      </c>
      <c r="AT14">
        <f>SUMIFS(Lapse_data!AT:AT,
        Lapse_data!$A:$A, "&gt;="&amp;DATE($A14,1,1),
        Lapse_data!$A:$A, "&lt;="&amp;DATE($A14,12,31))</f>
        <v>1</v>
      </c>
      <c r="AU14">
        <f>SUMIFS(Lapse_data!AU:AU,
        Lapse_data!$A:$A, "&gt;="&amp;DATE($A14,1,1),
        Lapse_data!$A:$A, "&lt;="&amp;DATE($A14,12,31))</f>
        <v>0</v>
      </c>
      <c r="AV14">
        <f>SUMIFS(Lapse_data!AV:AV,
        Lapse_data!$A:$A, "&gt;="&amp;DATE($A14,1,1),
        Lapse_data!$A:$A, "&lt;="&amp;DATE($A14,12,31))</f>
        <v>0</v>
      </c>
      <c r="AW14">
        <f>SUMIFS(Lapse_data!AW:AW,
        Lapse_data!$A:$A, "&gt;="&amp;DATE($A14,1,1),
        Lapse_data!$A:$A, "&lt;="&amp;DATE($A14,12,31))</f>
        <v>0</v>
      </c>
      <c r="AX14">
        <f>SUMIFS(Lapse_data!AX:AX,
        Lapse_data!$A:$A, "&gt;="&amp;DATE($A14,1,1),
        Lapse_data!$A:$A, "&lt;="&amp;DATE($A14,12,31))</f>
        <v>0</v>
      </c>
      <c r="AY14">
        <f>SUMIFS(Lapse_data!AY:AY,
        Lapse_data!$A:$A, "&gt;="&amp;DATE($A14,1,1),
        Lapse_data!$A:$A, "&lt;="&amp;DATE($A14,12,31))</f>
        <v>0</v>
      </c>
      <c r="AZ14">
        <f>SUMIFS(Lapse_data!AZ:AZ,
        Lapse_data!$A:$A, "&gt;="&amp;DATE($A14,1,1),
        Lapse_data!$A:$A, "&lt;="&amp;DATE($A14,12,31))</f>
        <v>0</v>
      </c>
      <c r="BA14">
        <f>SUMIFS(Lapse_data!BA:BA,
        Lapse_data!$A:$A, "&gt;="&amp;DATE($A14,1,1),
        Lapse_data!$A:$A, "&lt;="&amp;DATE($A14,12,31))</f>
        <v>0</v>
      </c>
      <c r="BB14">
        <f>SUMIFS(Lapse_data!BB:BB,
        Lapse_data!$A:$A, "&gt;="&amp;DATE($A14,1,1),
        Lapse_data!$A:$A, "&lt;="&amp;DATE($A14,12,31))</f>
        <v>0</v>
      </c>
      <c r="BC14">
        <f>SUMIFS(Lapse_data!BC:BC,
        Lapse_data!$A:$A, "&gt;="&amp;DATE($A14,1,1),
        Lapse_data!$A:$A, "&lt;="&amp;DATE($A14,12,31))</f>
        <v>0</v>
      </c>
      <c r="BD14">
        <f>SUMIFS(Lapse_data!BD:BD,
        Lapse_data!$A:$A, "&gt;="&amp;DATE($A14,1,1),
        Lapse_data!$A:$A, "&lt;="&amp;DATE($A14,12,31))</f>
        <v>0</v>
      </c>
      <c r="BE14">
        <f>SUMIFS(Lapse_data!BE:BE,
        Lapse_data!$A:$A, "&gt;="&amp;DATE($A14,1,1),
        Lapse_data!$A:$A, "&lt;="&amp;DATE($A14,12,31))</f>
        <v>0</v>
      </c>
      <c r="BF14">
        <f>SUMIFS(Lapse_data!BF:BF,
        Lapse_data!$A:$A, "&gt;="&amp;DATE($A14,1,1),
        Lapse_data!$A:$A, "&lt;="&amp;DATE($A14,12,31))</f>
        <v>0</v>
      </c>
      <c r="BG14">
        <f>SUMIFS(Lapse_data!BG:BG,
        Lapse_data!$A:$A, "&gt;="&amp;DATE($A14,1,1),
        Lapse_data!$A:$A, "&lt;="&amp;DATE($A14,12,31))</f>
        <v>0</v>
      </c>
      <c r="BH14">
        <f>SUMIFS(Lapse_data!BH:BH,
        Lapse_data!$A:$A, "&gt;="&amp;DATE($A14,1,1),
        Lapse_data!$A:$A, "&lt;="&amp;DATE($A14,12,31))</f>
        <v>0</v>
      </c>
      <c r="BI14">
        <f>SUMIFS(Lapse_data!BI:BI,
        Lapse_data!$A:$A, "&gt;="&amp;DATE($A14,1,1),
        Lapse_data!$A:$A, "&lt;="&amp;DATE($A14,12,31))</f>
        <v>0</v>
      </c>
      <c r="BJ14">
        <f>SUMIFS(Lapse_data!BJ:BJ,
        Lapse_data!$A:$A, "&gt;="&amp;DATE($A14,1,1),
        Lapse_data!$A:$A, "&lt;="&amp;DATE($A14,12,31))</f>
        <v>0</v>
      </c>
      <c r="BK14">
        <f>SUMIFS(Lapse_data!BK:BK,
        Lapse_data!$A:$A, "&gt;="&amp;DATE($A14,1,1),
        Lapse_data!$A:$A, "&lt;="&amp;DATE($A14,12,31))</f>
        <v>0</v>
      </c>
      <c r="BL14">
        <f>SUMIFS(Lapse_data!BL:BL,
        Lapse_data!$A:$A, "&gt;="&amp;DATE($A14,1,1),
        Lapse_data!$A:$A, "&lt;="&amp;DATE($A14,12,31))</f>
        <v>0</v>
      </c>
      <c r="BM14">
        <f>SUMIFS(Lapse_data!BM:BM,
        Lapse_data!$A:$A, "&gt;="&amp;DATE($A14,1,1),
        Lapse_data!$A:$A, "&lt;="&amp;DATE($A14,12,31))</f>
        <v>0</v>
      </c>
      <c r="BN14">
        <f>SUMIFS(Lapse_data!BN:BN,
        Lapse_data!$A:$A, "&gt;="&amp;DATE($A14,1,1),
        Lapse_data!$A:$A, "&lt;="&amp;DATE($A14,12,31))</f>
        <v>0</v>
      </c>
      <c r="BO14">
        <f>SUMIFS(Lapse_data!BO:BO,
        Lapse_data!$A:$A, "&gt;="&amp;DATE($A14,1,1),
        Lapse_data!$A:$A, "&lt;="&amp;DATE($A14,12,31))</f>
        <v>0</v>
      </c>
      <c r="BP14">
        <f>SUMIFS(Lapse_data!BP:BP,
        Lapse_data!$A:$A, "&gt;="&amp;DATE($A14,1,1),
        Lapse_data!$A:$A, "&lt;="&amp;DATE($A14,12,31))</f>
        <v>0</v>
      </c>
      <c r="BQ14">
        <f>SUMIFS(Lapse_data!BQ:BQ,
        Lapse_data!$A:$A, "&gt;="&amp;DATE($A14,1,1),
        Lapse_data!$A:$A, "&lt;="&amp;DATE($A14,12,31))</f>
        <v>0</v>
      </c>
      <c r="BR14">
        <f>SUMIFS(Lapse_data!BR:BR,
        Lapse_data!$A:$A, "&gt;="&amp;DATE($A14,1,1),
        Lapse_data!$A:$A, "&lt;="&amp;DATE($A14,12,31))</f>
        <v>0</v>
      </c>
      <c r="BS14">
        <f>SUMIFS(Lapse_data!BS:BS,
        Lapse_data!$A:$A, "&gt;="&amp;DATE($A14,1,1),
        Lapse_data!$A:$A, "&lt;="&amp;DATE($A14,12,31))</f>
        <v>0</v>
      </c>
      <c r="BT14">
        <f>SUMIFS(Lapse_data!BT:BT,
        Lapse_data!$A:$A, "&gt;="&amp;DATE($A14,1,1),
        Lapse_data!$A:$A, "&lt;="&amp;DATE($A14,12,31))</f>
        <v>0</v>
      </c>
      <c r="BU14">
        <f>SUMIFS(Lapse_data!BU:BU,
        Lapse_data!$A:$A, "&gt;="&amp;DATE($A14,1,1),
        Lapse_data!$A:$A, "&lt;="&amp;DATE($A14,12,31))</f>
        <v>0</v>
      </c>
      <c r="BV14">
        <f>SUMIFS(Lapse_data!BV:BV,
        Lapse_data!$A:$A, "&gt;="&amp;DATE($A14,1,1),
        Lapse_data!$A:$A, "&lt;="&amp;DATE($A14,12,31))</f>
        <v>0</v>
      </c>
      <c r="BW14">
        <f>SUMIFS(Lapse_data!BW:BW,
        Lapse_data!$A:$A, "&gt;="&amp;DATE($A14,1,1),
        Lapse_data!$A:$A, "&lt;="&amp;DATE($A14,12,31))</f>
        <v>0</v>
      </c>
      <c r="BX14">
        <f>SUMIFS(Lapse_data!BX:BX,
        Lapse_data!$A:$A, "&gt;="&amp;DATE($A14,1,1),
        Lapse_data!$A:$A, "&lt;="&amp;DATE($A14,12,31))</f>
        <v>0</v>
      </c>
      <c r="BY14">
        <f>SUMIFS(Lapse_data!BY:BY,
        Lapse_data!$A:$A, "&gt;="&amp;DATE($A14,1,1),
        Lapse_data!$A:$A, "&lt;="&amp;DATE($A14,12,31))</f>
        <v>0</v>
      </c>
      <c r="BZ14">
        <f>SUMIFS(Lapse_data!BZ:BZ,
        Lapse_data!$A:$A, "&gt;="&amp;DATE($A14,1,1),
        Lapse_data!$A:$A, "&lt;="&amp;DATE($A14,12,31))</f>
        <v>0</v>
      </c>
      <c r="CA14">
        <f>SUMIFS(Lapse_data!CA:CA,
        Lapse_data!$A:$A, "&gt;="&amp;DATE($A14,1,1),
        Lapse_data!$A:$A, "&lt;="&amp;DATE($A14,12,31))</f>
        <v>0</v>
      </c>
      <c r="CB14">
        <f>SUMIFS(Lapse_data!CB:CB,
        Lapse_data!$A:$A, "&gt;="&amp;DATE($A14,1,1),
        Lapse_data!$A:$A, "&lt;="&amp;DATE($A14,12,31))</f>
        <v>0</v>
      </c>
      <c r="CC14">
        <f>SUMIFS(Lapse_data!CC:CC,
        Lapse_data!$A:$A, "&gt;="&amp;DATE($A14,1,1),
        Lapse_data!$A:$A, "&lt;="&amp;DATE($A14,12,31))</f>
        <v>0</v>
      </c>
      <c r="CD14">
        <f>SUMIFS(Lapse_data!CD:CD,
        Lapse_data!$A:$A, "&gt;="&amp;DATE($A14,1,1),
        Lapse_data!$A:$A, "&lt;="&amp;DATE($A14,12,31))</f>
        <v>0</v>
      </c>
      <c r="CE14">
        <f>SUMIFS(Lapse_data!CE:CE,
        Lapse_data!$A:$A, "&gt;="&amp;DATE($A14,1,1),
        Lapse_data!$A:$A, "&lt;="&amp;DATE($A14,12,31))</f>
        <v>0</v>
      </c>
      <c r="CF14">
        <f>SUMIFS(Lapse_data!CF:CF,
        Lapse_data!$A:$A, "&gt;="&amp;DATE($A14,1,1),
        Lapse_data!$A:$A, "&lt;="&amp;DATE($A14,12,31))</f>
        <v>0</v>
      </c>
      <c r="CG14">
        <f>SUMIFS(Lapse_data!CG:CG,
        Lapse_data!$A:$A, "&gt;="&amp;DATE($A14,1,1),
        Lapse_data!$A:$A, "&lt;="&amp;DATE($A14,12,31))</f>
        <v>0</v>
      </c>
      <c r="CH14">
        <f>SUMIFS(Lapse_data!CH:CH,
        Lapse_data!$A:$A, "&gt;="&amp;DATE($A14,1,1),
        Lapse_data!$A:$A, "&lt;="&amp;DATE($A14,12,31))</f>
        <v>0</v>
      </c>
      <c r="CI14">
        <f>SUMIFS(Lapse_data!CI:CI,
        Lapse_data!$A:$A, "&gt;="&amp;DATE($A14,1,1),
        Lapse_data!$A:$A, "&lt;="&amp;DATE($A14,12,31))</f>
        <v>0</v>
      </c>
      <c r="CJ14">
        <f>SUMIFS(Lapse_data!CJ:CJ,
        Lapse_data!$A:$A, "&gt;="&amp;DATE($A14,1,1),
        Lapse_data!$A:$A, "&lt;="&amp;DATE($A14,12,31))</f>
        <v>0</v>
      </c>
      <c r="CK14">
        <f>SUMIFS(Lapse_data!CK:CK,
        Lapse_data!$A:$A, "&gt;="&amp;DATE($A14,1,1),
        Lapse_data!$A:$A, "&lt;="&amp;DATE($A14,12,31))</f>
        <v>0</v>
      </c>
      <c r="CL14">
        <f>SUMIFS(Lapse_data!CL:CL,
        Lapse_data!$A:$A, "&gt;="&amp;DATE($A14,1,1),
        Lapse_data!$A:$A, "&lt;="&amp;DATE($A14,12,31))</f>
        <v>0</v>
      </c>
      <c r="CM14">
        <f>SUMIFS(Lapse_data!CM:CM,
        Lapse_data!$A:$A, "&gt;="&amp;DATE($A14,1,1),
        Lapse_data!$A:$A, "&lt;="&amp;DATE($A14,12,31))</f>
        <v>0</v>
      </c>
      <c r="CN14">
        <f>SUMIFS(Lapse_data!CN:CN,
        Lapse_data!$A:$A, "&gt;="&amp;DATE($A14,1,1),
        Lapse_data!$A:$A, "&lt;="&amp;DATE($A14,12,31))</f>
        <v>0</v>
      </c>
      <c r="CO14">
        <f>SUMIFS(Lapse_data!CO:CO,
        Lapse_data!$A:$A, "&gt;="&amp;DATE($A14,1,1),
        Lapse_data!$A:$A, "&lt;="&amp;DATE($A14,12,31))</f>
        <v>0</v>
      </c>
      <c r="CP14">
        <f>SUMIFS(Lapse_data!CP:CP,
        Lapse_data!$A:$A, "&gt;="&amp;DATE($A14,1,1),
        Lapse_data!$A:$A, "&lt;="&amp;DATE($A14,12,31))</f>
        <v>0</v>
      </c>
      <c r="CQ14">
        <f>SUMIFS(Lapse_data!CQ:CQ,
        Lapse_data!$A:$A, "&gt;="&amp;DATE($A14,1,1),
        Lapse_data!$A:$A, "&lt;="&amp;DATE($A14,12,31))</f>
        <v>0</v>
      </c>
      <c r="CR14">
        <f>SUMIFS(Lapse_data!CR:CR,
        Lapse_data!$A:$A, "&gt;="&amp;DATE($A14,1,1),
        Lapse_data!$A:$A, "&lt;="&amp;DATE($A14,12,31))</f>
        <v>0</v>
      </c>
      <c r="CS14">
        <f>SUMIFS(Lapse_data!CS:CS,
        Lapse_data!$A:$A, "&gt;="&amp;DATE($A14,1,1),
        Lapse_data!$A:$A, "&lt;="&amp;DATE($A14,12,31))</f>
        <v>0</v>
      </c>
      <c r="CT14">
        <f>SUMIFS(Lapse_data!CT:CT,
        Lapse_data!$A:$A, "&gt;="&amp;DATE($A14,1,1),
        Lapse_data!$A:$A, "&lt;="&amp;DATE($A14,12,31))</f>
        <v>0</v>
      </c>
      <c r="CU14">
        <f>SUMIFS(Lapse_data!CU:CU,
        Lapse_data!$A:$A, "&gt;="&amp;DATE($A14,1,1),
        Lapse_data!$A:$A, "&lt;="&amp;DATE($A14,12,31))</f>
        <v>0</v>
      </c>
      <c r="CV14">
        <f>SUMIFS(Lapse_data!CV:CV,
        Lapse_data!$A:$A, "&gt;="&amp;DATE($A14,1,1),
        Lapse_data!$A:$A, "&lt;="&amp;DATE($A14,12,31))</f>
        <v>0</v>
      </c>
      <c r="CW14">
        <f>SUMIFS(Lapse_data!CW:CW,
        Lapse_data!$A:$A, "&gt;="&amp;DATE($A14,1,1),
        Lapse_data!$A:$A, "&lt;="&amp;DATE($A14,12,31))</f>
        <v>0</v>
      </c>
      <c r="CX14">
        <f>SUMIFS(Lapse_data!CX:CX,
        Lapse_data!$A:$A, "&gt;="&amp;DATE($A14,1,1),
        Lapse_data!$A:$A, "&lt;="&amp;DATE($A14,12,31))</f>
        <v>0</v>
      </c>
      <c r="CY14">
        <f>SUMIFS(Lapse_data!CY:CY,
        Lapse_data!$A:$A, "&gt;="&amp;DATE($A14,1,1),
        Lapse_data!$A:$A, "&lt;="&amp;DATE($A14,12,31))</f>
        <v>0</v>
      </c>
      <c r="CZ14">
        <f>SUMIFS(Lapse_data!CZ:CZ,
        Lapse_data!$A:$A, "&gt;="&amp;DATE($A14,1,1),
        Lapse_data!$A:$A, "&lt;="&amp;DATE($A14,12,31))</f>
        <v>0</v>
      </c>
      <c r="DA14">
        <f>SUMIFS(Lapse_data!DA:DA,
        Lapse_data!$A:$A, "&gt;="&amp;DATE($A14,1,1),
        Lapse_data!$A:$A, "&lt;="&amp;DATE($A14,12,31))</f>
        <v>0</v>
      </c>
      <c r="DB14">
        <f>SUMIFS(Lapse_data!DB:DB,
        Lapse_data!$A:$A, "&gt;="&amp;DATE($A14,1,1),
        Lapse_data!$A:$A, "&lt;="&amp;DATE($A14,12,31))</f>
        <v>0</v>
      </c>
      <c r="DC14">
        <f>SUMIFS(Lapse_data!DC:DC,
        Lapse_data!$A:$A, "&gt;="&amp;DATE($A14,1,1),
        Lapse_data!$A:$A, "&lt;="&amp;DATE($A14,12,31))</f>
        <v>0</v>
      </c>
      <c r="DD14">
        <f>SUMIFS(Lapse_data!DD:DD,
        Lapse_data!$A:$A, "&gt;="&amp;DATE($A14,1,1),
        Lapse_data!$A:$A, "&lt;="&amp;DATE($A14,12,31))</f>
        <v>0</v>
      </c>
      <c r="DE14">
        <f>SUMIFS(Lapse_data!DE:DE,
        Lapse_data!$A:$A, "&gt;="&amp;DATE($A14,1,1),
        Lapse_data!$A:$A, "&lt;="&amp;DATE($A14,12,31))</f>
        <v>0</v>
      </c>
      <c r="DF14">
        <f>SUMIFS(Lapse_data!DF:DF,
        Lapse_data!$A:$A, "&gt;="&amp;DATE($A14,1,1),
        Lapse_data!$A:$A, "&lt;="&amp;DATE($A14,12,31))</f>
        <v>0</v>
      </c>
      <c r="DG14">
        <f>SUMIFS(Lapse_data!DG:DG,
        Lapse_data!$A:$A, "&gt;="&amp;DATE($A14,1,1),
        Lapse_data!$A:$A, "&lt;="&amp;DATE($A14,12,31))</f>
        <v>0</v>
      </c>
      <c r="DH14">
        <f>SUMIFS(Lapse_data!DH:DH,
        Lapse_data!$A:$A, "&gt;="&amp;DATE($A14,1,1),
        Lapse_data!$A:$A, "&lt;="&amp;DATE($A14,12,31))</f>
        <v>0</v>
      </c>
      <c r="DI14">
        <f>SUMIFS(Lapse_data!DI:DI,
        Lapse_data!$A:$A, "&gt;="&amp;DATE($A14,1,1),
        Lapse_data!$A:$A, "&lt;="&amp;DATE($A14,12,31))</f>
        <v>0</v>
      </c>
      <c r="DJ14">
        <f>SUMIFS(Lapse_data!DJ:DJ,
        Lapse_data!$A:$A, "&gt;="&amp;DATE($A14,1,1),
        Lapse_data!$A:$A, "&lt;="&amp;DATE($A14,12,31))</f>
        <v>0</v>
      </c>
      <c r="DK14">
        <f>SUMIFS(Lapse_data!DK:DK,
        Lapse_data!$A:$A, "&gt;="&amp;DATE($A14,1,1),
        Lapse_data!$A:$A, "&lt;="&amp;DATE($A14,12,31))</f>
        <v>0</v>
      </c>
      <c r="DL14">
        <f>SUMIFS(Lapse_data!DL:DL,
        Lapse_data!$A:$A, "&gt;="&amp;DATE($A14,1,1),
        Lapse_data!$A:$A, "&lt;="&amp;DATE($A14,12,31))</f>
        <v>0</v>
      </c>
      <c r="DM14">
        <f>SUMIFS(Lapse_data!DM:DM,
        Lapse_data!$A:$A, "&gt;="&amp;DATE($A14,1,1),
        Lapse_data!$A:$A, "&lt;="&amp;DATE($A14,12,31))</f>
        <v>0</v>
      </c>
      <c r="DN14">
        <f>SUMIFS(Lapse_data!DN:DN,
        Lapse_data!$A:$A, "&gt;="&amp;DATE($A14,1,1),
        Lapse_data!$A:$A, "&lt;="&amp;DATE($A14,12,31))</f>
        <v>0</v>
      </c>
      <c r="DO14">
        <f>SUMIFS(Lapse_data!DO:DO,
        Lapse_data!$A:$A, "&gt;="&amp;DATE($A14,1,1),
        Lapse_data!$A:$A, "&lt;="&amp;DATE($A14,12,31))</f>
        <v>0</v>
      </c>
      <c r="DP14">
        <f>SUMIFS(Lapse_data!DP:DP,
        Lapse_data!$A:$A, "&gt;="&amp;DATE($A14,1,1),
        Lapse_data!$A:$A, "&lt;="&amp;DATE($A14,12,31))</f>
        <v>0</v>
      </c>
      <c r="DQ14">
        <f>SUMIFS(Lapse_data!DQ:DQ,
        Lapse_data!$A:$A, "&gt;="&amp;DATE($A14,1,1),
        Lapse_data!$A:$A, "&lt;="&amp;DATE($A14,12,31))</f>
        <v>0</v>
      </c>
    </row>
    <row r="15" spans="1:121" x14ac:dyDescent="0.35">
      <c r="A15" s="10">
        <v>2022</v>
      </c>
      <c r="B15">
        <f>SUMIFS(Lapse_data!B:B,
        Lapse_data!$A:$A, "&gt;="&amp;DATE($A15,1,1),
        Lapse_data!$A:$A, "&lt;="&amp;DATE($A15,12,31))</f>
        <v>260</v>
      </c>
      <c r="C15">
        <f>SUMIFS(Lapse_data!C:C,
        Lapse_data!$A:$A, "&gt;="&amp;DATE($A15,1,1),
        Lapse_data!$A:$A, "&lt;="&amp;DATE($A15,12,31))</f>
        <v>240</v>
      </c>
      <c r="D15">
        <f>SUMIFS(Lapse_data!D:D,
        Lapse_data!$A:$A, "&gt;="&amp;DATE($A15,1,1),
        Lapse_data!$A:$A, "&lt;="&amp;DATE($A15,12,31))</f>
        <v>210</v>
      </c>
      <c r="E15">
        <f>SUMIFS(Lapse_data!E:E,
        Lapse_data!$A:$A, "&gt;="&amp;DATE($A15,1,1),
        Lapse_data!$A:$A, "&lt;="&amp;DATE($A15,12,31))</f>
        <v>152</v>
      </c>
      <c r="F15">
        <f>SUMIFS(Lapse_data!F:F,
        Lapse_data!$A:$A, "&gt;="&amp;DATE($A15,1,1),
        Lapse_data!$A:$A, "&lt;="&amp;DATE($A15,12,31))</f>
        <v>127</v>
      </c>
      <c r="G15">
        <f>SUMIFS(Lapse_data!G:G,
        Lapse_data!$A:$A, "&gt;="&amp;DATE($A15,1,1),
        Lapse_data!$A:$A, "&lt;="&amp;DATE($A15,12,31))</f>
        <v>102</v>
      </c>
      <c r="H15">
        <f>SUMIFS(Lapse_data!H:H,
        Lapse_data!$A:$A, "&gt;="&amp;DATE($A15,1,1),
        Lapse_data!$A:$A, "&lt;="&amp;DATE($A15,12,31))</f>
        <v>104</v>
      </c>
      <c r="I15">
        <f>SUMIFS(Lapse_data!I:I,
        Lapse_data!$A:$A, "&gt;="&amp;DATE($A15,1,1),
        Lapse_data!$A:$A, "&lt;="&amp;DATE($A15,12,31))</f>
        <v>98</v>
      </c>
      <c r="J15">
        <f>SUMIFS(Lapse_data!J:J,
        Lapse_data!$A:$A, "&gt;="&amp;DATE($A15,1,1),
        Lapse_data!$A:$A, "&lt;="&amp;DATE($A15,12,31))</f>
        <v>85</v>
      </c>
      <c r="K15">
        <f>SUMIFS(Lapse_data!K:K,
        Lapse_data!$A:$A, "&gt;="&amp;DATE($A15,1,1),
        Lapse_data!$A:$A, "&lt;="&amp;DATE($A15,12,31))</f>
        <v>81</v>
      </c>
      <c r="L15">
        <f>SUMIFS(Lapse_data!L:L,
        Lapse_data!$A:$A, "&gt;="&amp;DATE($A15,1,1),
        Lapse_data!$A:$A, "&lt;="&amp;DATE($A15,12,31))</f>
        <v>73</v>
      </c>
      <c r="M15">
        <f>SUMIFS(Lapse_data!M:M,
        Lapse_data!$A:$A, "&gt;="&amp;DATE($A15,1,1),
        Lapse_data!$A:$A, "&lt;="&amp;DATE($A15,12,31))</f>
        <v>82</v>
      </c>
      <c r="N15">
        <f>SUMIFS(Lapse_data!N:N,
        Lapse_data!$A:$A, "&gt;="&amp;DATE($A15,1,1),
        Lapse_data!$A:$A, "&lt;="&amp;DATE($A15,12,31))</f>
        <v>50</v>
      </c>
      <c r="O15">
        <f>SUMIFS(Lapse_data!O:O,
        Lapse_data!$A:$A, "&gt;="&amp;DATE($A15,1,1),
        Lapse_data!$A:$A, "&lt;="&amp;DATE($A15,12,31))</f>
        <v>62</v>
      </c>
      <c r="P15">
        <f>SUMIFS(Lapse_data!P:P,
        Lapse_data!$A:$A, "&gt;="&amp;DATE($A15,1,1),
        Lapse_data!$A:$A, "&lt;="&amp;DATE($A15,12,31))</f>
        <v>31</v>
      </c>
      <c r="Q15">
        <f>SUMIFS(Lapse_data!Q:Q,
        Lapse_data!$A:$A, "&gt;="&amp;DATE($A15,1,1),
        Lapse_data!$A:$A, "&lt;="&amp;DATE($A15,12,31))</f>
        <v>33</v>
      </c>
      <c r="R15">
        <f>SUMIFS(Lapse_data!R:R,
        Lapse_data!$A:$A, "&gt;="&amp;DATE($A15,1,1),
        Lapse_data!$A:$A, "&lt;="&amp;DATE($A15,12,31))</f>
        <v>36</v>
      </c>
      <c r="S15">
        <f>SUMIFS(Lapse_data!S:S,
        Lapse_data!$A:$A, "&gt;="&amp;DATE($A15,1,1),
        Lapse_data!$A:$A, "&lt;="&amp;DATE($A15,12,31))</f>
        <v>36</v>
      </c>
      <c r="T15">
        <f>SUMIFS(Lapse_data!T:T,
        Lapse_data!$A:$A, "&gt;="&amp;DATE($A15,1,1),
        Lapse_data!$A:$A, "&lt;="&amp;DATE($A15,12,31))</f>
        <v>30</v>
      </c>
      <c r="U15">
        <f>SUMIFS(Lapse_data!U:U,
        Lapse_data!$A:$A, "&gt;="&amp;DATE($A15,1,1),
        Lapse_data!$A:$A, "&lt;="&amp;DATE($A15,12,31))</f>
        <v>34</v>
      </c>
      <c r="V15">
        <f>SUMIFS(Lapse_data!V:V,
        Lapse_data!$A:$A, "&gt;="&amp;DATE($A15,1,1),
        Lapse_data!$A:$A, "&lt;="&amp;DATE($A15,12,31))</f>
        <v>25</v>
      </c>
      <c r="W15">
        <f>SUMIFS(Lapse_data!W:W,
        Lapse_data!$A:$A, "&gt;="&amp;DATE($A15,1,1),
        Lapse_data!$A:$A, "&lt;="&amp;DATE($A15,12,31))</f>
        <v>19</v>
      </c>
      <c r="X15">
        <f>SUMIFS(Lapse_data!X:X,
        Lapse_data!$A:$A, "&gt;="&amp;DATE($A15,1,1),
        Lapse_data!$A:$A, "&lt;="&amp;DATE($A15,12,31))</f>
        <v>15</v>
      </c>
      <c r="Y15">
        <f>SUMIFS(Lapse_data!Y:Y,
        Lapse_data!$A:$A, "&gt;="&amp;DATE($A15,1,1),
        Lapse_data!$A:$A, "&lt;="&amp;DATE($A15,12,31))</f>
        <v>23</v>
      </c>
      <c r="Z15">
        <f>SUMIFS(Lapse_data!Z:Z,
        Lapse_data!$A:$A, "&gt;="&amp;DATE($A15,1,1),
        Lapse_data!$A:$A, "&lt;="&amp;DATE($A15,12,31))</f>
        <v>19</v>
      </c>
      <c r="AA15">
        <f>SUMIFS(Lapse_data!AA:AA,
        Lapse_data!$A:$A, "&gt;="&amp;DATE($A15,1,1),
        Lapse_data!$A:$A, "&lt;="&amp;DATE($A15,12,31))</f>
        <v>17</v>
      </c>
      <c r="AB15">
        <f>SUMIFS(Lapse_data!AB:AB,
        Lapse_data!$A:$A, "&gt;="&amp;DATE($A15,1,1),
        Lapse_data!$A:$A, "&lt;="&amp;DATE($A15,12,31))</f>
        <v>11</v>
      </c>
      <c r="AC15">
        <f>SUMIFS(Lapse_data!AC:AC,
        Lapse_data!$A:$A, "&gt;="&amp;DATE($A15,1,1),
        Lapse_data!$A:$A, "&lt;="&amp;DATE($A15,12,31))</f>
        <v>8</v>
      </c>
      <c r="AD15">
        <f>SUMIFS(Lapse_data!AD:AD,
        Lapse_data!$A:$A, "&gt;="&amp;DATE($A15,1,1),
        Lapse_data!$A:$A, "&lt;="&amp;DATE($A15,12,31))</f>
        <v>8</v>
      </c>
      <c r="AE15">
        <f>SUMIFS(Lapse_data!AE:AE,
        Lapse_data!$A:$A, "&gt;="&amp;DATE($A15,1,1),
        Lapse_data!$A:$A, "&lt;="&amp;DATE($A15,12,31))</f>
        <v>11</v>
      </c>
      <c r="AF15">
        <f>SUMIFS(Lapse_data!AF:AF,
        Lapse_data!$A:$A, "&gt;="&amp;DATE($A15,1,1),
        Lapse_data!$A:$A, "&lt;="&amp;DATE($A15,12,31))</f>
        <v>7</v>
      </c>
      <c r="AG15">
        <f>SUMIFS(Lapse_data!AG:AG,
        Lapse_data!$A:$A, "&gt;="&amp;DATE($A15,1,1),
        Lapse_data!$A:$A, "&lt;="&amp;DATE($A15,12,31))</f>
        <v>1</v>
      </c>
      <c r="AH15">
        <f>SUMIFS(Lapse_data!AH:AH,
        Lapse_data!$A:$A, "&gt;="&amp;DATE($A15,1,1),
        Lapse_data!$A:$A, "&lt;="&amp;DATE($A15,12,31))</f>
        <v>2</v>
      </c>
      <c r="AI15">
        <f>SUMIFS(Lapse_data!AI:AI,
        Lapse_data!$A:$A, "&gt;="&amp;DATE($A15,1,1),
        Lapse_data!$A:$A, "&lt;="&amp;DATE($A15,12,31))</f>
        <v>2</v>
      </c>
      <c r="AJ15">
        <f>SUMIFS(Lapse_data!AJ:AJ,
        Lapse_data!$A:$A, "&gt;="&amp;DATE($A15,1,1),
        Lapse_data!$A:$A, "&lt;="&amp;DATE($A15,12,31))</f>
        <v>1</v>
      </c>
      <c r="AK15">
        <f>SUMIFS(Lapse_data!AK:AK,
        Lapse_data!$A:$A, "&gt;="&amp;DATE($A15,1,1),
        Lapse_data!$A:$A, "&lt;="&amp;DATE($A15,12,31))</f>
        <v>0</v>
      </c>
      <c r="AL15">
        <f>SUMIFS(Lapse_data!AL:AL,
        Lapse_data!$A:$A, "&gt;="&amp;DATE($A15,1,1),
        Lapse_data!$A:$A, "&lt;="&amp;DATE($A15,12,31))</f>
        <v>0</v>
      </c>
      <c r="AM15">
        <f>SUMIFS(Lapse_data!AM:AM,
        Lapse_data!$A:$A, "&gt;="&amp;DATE($A15,1,1),
        Lapse_data!$A:$A, "&lt;="&amp;DATE($A15,12,31))</f>
        <v>0</v>
      </c>
      <c r="AN15">
        <f>SUMIFS(Lapse_data!AN:AN,
        Lapse_data!$A:$A, "&gt;="&amp;DATE($A15,1,1),
        Lapse_data!$A:$A, "&lt;="&amp;DATE($A15,12,31))</f>
        <v>0</v>
      </c>
      <c r="AO15">
        <f>SUMIFS(Lapse_data!AO:AO,
        Lapse_data!$A:$A, "&gt;="&amp;DATE($A15,1,1),
        Lapse_data!$A:$A, "&lt;="&amp;DATE($A15,12,31))</f>
        <v>0</v>
      </c>
      <c r="AP15">
        <f>SUMIFS(Lapse_data!AP:AP,
        Lapse_data!$A:$A, "&gt;="&amp;DATE($A15,1,1),
        Lapse_data!$A:$A, "&lt;="&amp;DATE($A15,12,31))</f>
        <v>0</v>
      </c>
      <c r="AQ15">
        <f>SUMIFS(Lapse_data!AQ:AQ,
        Lapse_data!$A:$A, "&gt;="&amp;DATE($A15,1,1),
        Lapse_data!$A:$A, "&lt;="&amp;DATE($A15,12,31))</f>
        <v>0</v>
      </c>
      <c r="AR15">
        <f>SUMIFS(Lapse_data!AR:AR,
        Lapse_data!$A:$A, "&gt;="&amp;DATE($A15,1,1),
        Lapse_data!$A:$A, "&lt;="&amp;DATE($A15,12,31))</f>
        <v>0</v>
      </c>
      <c r="AS15">
        <f>SUMIFS(Lapse_data!AS:AS,
        Lapse_data!$A:$A, "&gt;="&amp;DATE($A15,1,1),
        Lapse_data!$A:$A, "&lt;="&amp;DATE($A15,12,31))</f>
        <v>0</v>
      </c>
      <c r="AT15">
        <f>SUMIFS(Lapse_data!AT:AT,
        Lapse_data!$A:$A, "&gt;="&amp;DATE($A15,1,1),
        Lapse_data!$A:$A, "&lt;="&amp;DATE($A15,12,31))</f>
        <v>0</v>
      </c>
      <c r="AU15">
        <f>SUMIFS(Lapse_data!AU:AU,
        Lapse_data!$A:$A, "&gt;="&amp;DATE($A15,1,1),
        Lapse_data!$A:$A, "&lt;="&amp;DATE($A15,12,31))</f>
        <v>0</v>
      </c>
      <c r="AV15">
        <f>SUMIFS(Lapse_data!AV:AV,
        Lapse_data!$A:$A, "&gt;="&amp;DATE($A15,1,1),
        Lapse_data!$A:$A, "&lt;="&amp;DATE($A15,12,31))</f>
        <v>0</v>
      </c>
      <c r="AW15">
        <f>SUMIFS(Lapse_data!AW:AW,
        Lapse_data!$A:$A, "&gt;="&amp;DATE($A15,1,1),
        Lapse_data!$A:$A, "&lt;="&amp;DATE($A15,12,31))</f>
        <v>0</v>
      </c>
      <c r="AX15">
        <f>SUMIFS(Lapse_data!AX:AX,
        Lapse_data!$A:$A, "&gt;="&amp;DATE($A15,1,1),
        Lapse_data!$A:$A, "&lt;="&amp;DATE($A15,12,31))</f>
        <v>0</v>
      </c>
      <c r="AY15">
        <f>SUMIFS(Lapse_data!AY:AY,
        Lapse_data!$A:$A, "&gt;="&amp;DATE($A15,1,1),
        Lapse_data!$A:$A, "&lt;="&amp;DATE($A15,12,31))</f>
        <v>0</v>
      </c>
      <c r="AZ15">
        <f>SUMIFS(Lapse_data!AZ:AZ,
        Lapse_data!$A:$A, "&gt;="&amp;DATE($A15,1,1),
        Lapse_data!$A:$A, "&lt;="&amp;DATE($A15,12,31))</f>
        <v>0</v>
      </c>
      <c r="BA15">
        <f>SUMIFS(Lapse_data!BA:BA,
        Lapse_data!$A:$A, "&gt;="&amp;DATE($A15,1,1),
        Lapse_data!$A:$A, "&lt;="&amp;DATE($A15,12,31))</f>
        <v>0</v>
      </c>
      <c r="BB15">
        <f>SUMIFS(Lapse_data!BB:BB,
        Lapse_data!$A:$A, "&gt;="&amp;DATE($A15,1,1),
        Lapse_data!$A:$A, "&lt;="&amp;DATE($A15,12,31))</f>
        <v>0</v>
      </c>
      <c r="BC15">
        <f>SUMIFS(Lapse_data!BC:BC,
        Lapse_data!$A:$A, "&gt;="&amp;DATE($A15,1,1),
        Lapse_data!$A:$A, "&lt;="&amp;DATE($A15,12,31))</f>
        <v>0</v>
      </c>
      <c r="BD15">
        <f>SUMIFS(Lapse_data!BD:BD,
        Lapse_data!$A:$A, "&gt;="&amp;DATE($A15,1,1),
        Lapse_data!$A:$A, "&lt;="&amp;DATE($A15,12,31))</f>
        <v>0</v>
      </c>
      <c r="BE15">
        <f>SUMIFS(Lapse_data!BE:BE,
        Lapse_data!$A:$A, "&gt;="&amp;DATE($A15,1,1),
        Lapse_data!$A:$A, "&lt;="&amp;DATE($A15,12,31))</f>
        <v>0</v>
      </c>
      <c r="BF15">
        <f>SUMIFS(Lapse_data!BF:BF,
        Lapse_data!$A:$A, "&gt;="&amp;DATE($A15,1,1),
        Lapse_data!$A:$A, "&lt;="&amp;DATE($A15,12,31))</f>
        <v>0</v>
      </c>
      <c r="BG15">
        <f>SUMIFS(Lapse_data!BG:BG,
        Lapse_data!$A:$A, "&gt;="&amp;DATE($A15,1,1),
        Lapse_data!$A:$A, "&lt;="&amp;DATE($A15,12,31))</f>
        <v>0</v>
      </c>
      <c r="BH15">
        <f>SUMIFS(Lapse_data!BH:BH,
        Lapse_data!$A:$A, "&gt;="&amp;DATE($A15,1,1),
        Lapse_data!$A:$A, "&lt;="&amp;DATE($A15,12,31))</f>
        <v>0</v>
      </c>
      <c r="BI15">
        <f>SUMIFS(Lapse_data!BI:BI,
        Lapse_data!$A:$A, "&gt;="&amp;DATE($A15,1,1),
        Lapse_data!$A:$A, "&lt;="&amp;DATE($A15,12,31))</f>
        <v>0</v>
      </c>
      <c r="BJ15">
        <f>SUMIFS(Lapse_data!BJ:BJ,
        Lapse_data!$A:$A, "&gt;="&amp;DATE($A15,1,1),
        Lapse_data!$A:$A, "&lt;="&amp;DATE($A15,12,31))</f>
        <v>0</v>
      </c>
      <c r="BK15">
        <f>SUMIFS(Lapse_data!BK:BK,
        Lapse_data!$A:$A, "&gt;="&amp;DATE($A15,1,1),
        Lapse_data!$A:$A, "&lt;="&amp;DATE($A15,12,31))</f>
        <v>0</v>
      </c>
      <c r="BL15">
        <f>SUMIFS(Lapse_data!BL:BL,
        Lapse_data!$A:$A, "&gt;="&amp;DATE($A15,1,1),
        Lapse_data!$A:$A, "&lt;="&amp;DATE($A15,12,31))</f>
        <v>0</v>
      </c>
      <c r="BM15">
        <f>SUMIFS(Lapse_data!BM:BM,
        Lapse_data!$A:$A, "&gt;="&amp;DATE($A15,1,1),
        Lapse_data!$A:$A, "&lt;="&amp;DATE($A15,12,31))</f>
        <v>0</v>
      </c>
      <c r="BN15">
        <f>SUMIFS(Lapse_data!BN:BN,
        Lapse_data!$A:$A, "&gt;="&amp;DATE($A15,1,1),
        Lapse_data!$A:$A, "&lt;="&amp;DATE($A15,12,31))</f>
        <v>0</v>
      </c>
      <c r="BO15">
        <f>SUMIFS(Lapse_data!BO:BO,
        Lapse_data!$A:$A, "&gt;="&amp;DATE($A15,1,1),
        Lapse_data!$A:$A, "&lt;="&amp;DATE($A15,12,31))</f>
        <v>0</v>
      </c>
      <c r="BP15">
        <f>SUMIFS(Lapse_data!BP:BP,
        Lapse_data!$A:$A, "&gt;="&amp;DATE($A15,1,1),
        Lapse_data!$A:$A, "&lt;="&amp;DATE($A15,12,31))</f>
        <v>0</v>
      </c>
      <c r="BQ15">
        <f>SUMIFS(Lapse_data!BQ:BQ,
        Lapse_data!$A:$A, "&gt;="&amp;DATE($A15,1,1),
        Lapse_data!$A:$A, "&lt;="&amp;DATE($A15,12,31))</f>
        <v>0</v>
      </c>
      <c r="BR15">
        <f>SUMIFS(Lapse_data!BR:BR,
        Lapse_data!$A:$A, "&gt;="&amp;DATE($A15,1,1),
        Lapse_data!$A:$A, "&lt;="&amp;DATE($A15,12,31))</f>
        <v>0</v>
      </c>
      <c r="BS15">
        <f>SUMIFS(Lapse_data!BS:BS,
        Lapse_data!$A:$A, "&gt;="&amp;DATE($A15,1,1),
        Lapse_data!$A:$A, "&lt;="&amp;DATE($A15,12,31))</f>
        <v>0</v>
      </c>
      <c r="BT15">
        <f>SUMIFS(Lapse_data!BT:BT,
        Lapse_data!$A:$A, "&gt;="&amp;DATE($A15,1,1),
        Lapse_data!$A:$A, "&lt;="&amp;DATE($A15,12,31))</f>
        <v>0</v>
      </c>
      <c r="BU15">
        <f>SUMIFS(Lapse_data!BU:BU,
        Lapse_data!$A:$A, "&gt;="&amp;DATE($A15,1,1),
        Lapse_data!$A:$A, "&lt;="&amp;DATE($A15,12,31))</f>
        <v>0</v>
      </c>
      <c r="BV15">
        <f>SUMIFS(Lapse_data!BV:BV,
        Lapse_data!$A:$A, "&gt;="&amp;DATE($A15,1,1),
        Lapse_data!$A:$A, "&lt;="&amp;DATE($A15,12,31))</f>
        <v>0</v>
      </c>
      <c r="BW15">
        <f>SUMIFS(Lapse_data!BW:BW,
        Lapse_data!$A:$A, "&gt;="&amp;DATE($A15,1,1),
        Lapse_data!$A:$A, "&lt;="&amp;DATE($A15,12,31))</f>
        <v>0</v>
      </c>
      <c r="BX15">
        <f>SUMIFS(Lapse_data!BX:BX,
        Lapse_data!$A:$A, "&gt;="&amp;DATE($A15,1,1),
        Lapse_data!$A:$A, "&lt;="&amp;DATE($A15,12,31))</f>
        <v>0</v>
      </c>
      <c r="BY15">
        <f>SUMIFS(Lapse_data!BY:BY,
        Lapse_data!$A:$A, "&gt;="&amp;DATE($A15,1,1),
        Lapse_data!$A:$A, "&lt;="&amp;DATE($A15,12,31))</f>
        <v>0</v>
      </c>
      <c r="BZ15">
        <f>SUMIFS(Lapse_data!BZ:BZ,
        Lapse_data!$A:$A, "&gt;="&amp;DATE($A15,1,1),
        Lapse_data!$A:$A, "&lt;="&amp;DATE($A15,12,31))</f>
        <v>0</v>
      </c>
      <c r="CA15">
        <f>SUMIFS(Lapse_data!CA:CA,
        Lapse_data!$A:$A, "&gt;="&amp;DATE($A15,1,1),
        Lapse_data!$A:$A, "&lt;="&amp;DATE($A15,12,31))</f>
        <v>0</v>
      </c>
      <c r="CB15">
        <f>SUMIFS(Lapse_data!CB:CB,
        Lapse_data!$A:$A, "&gt;="&amp;DATE($A15,1,1),
        Lapse_data!$A:$A, "&lt;="&amp;DATE($A15,12,31))</f>
        <v>0</v>
      </c>
      <c r="CC15">
        <f>SUMIFS(Lapse_data!CC:CC,
        Lapse_data!$A:$A, "&gt;="&amp;DATE($A15,1,1),
        Lapse_data!$A:$A, "&lt;="&amp;DATE($A15,12,31))</f>
        <v>0</v>
      </c>
      <c r="CD15">
        <f>SUMIFS(Lapse_data!CD:CD,
        Lapse_data!$A:$A, "&gt;="&amp;DATE($A15,1,1),
        Lapse_data!$A:$A, "&lt;="&amp;DATE($A15,12,31))</f>
        <v>0</v>
      </c>
      <c r="CE15">
        <f>SUMIFS(Lapse_data!CE:CE,
        Lapse_data!$A:$A, "&gt;="&amp;DATE($A15,1,1),
        Lapse_data!$A:$A, "&lt;="&amp;DATE($A15,12,31))</f>
        <v>0</v>
      </c>
      <c r="CF15">
        <f>SUMIFS(Lapse_data!CF:CF,
        Lapse_data!$A:$A, "&gt;="&amp;DATE($A15,1,1),
        Lapse_data!$A:$A, "&lt;="&amp;DATE($A15,12,31))</f>
        <v>0</v>
      </c>
      <c r="CG15">
        <f>SUMIFS(Lapse_data!CG:CG,
        Lapse_data!$A:$A, "&gt;="&amp;DATE($A15,1,1),
        Lapse_data!$A:$A, "&lt;="&amp;DATE($A15,12,31))</f>
        <v>0</v>
      </c>
      <c r="CH15">
        <f>SUMIFS(Lapse_data!CH:CH,
        Lapse_data!$A:$A, "&gt;="&amp;DATE($A15,1,1),
        Lapse_data!$A:$A, "&lt;="&amp;DATE($A15,12,31))</f>
        <v>0</v>
      </c>
      <c r="CI15">
        <f>SUMIFS(Lapse_data!CI:CI,
        Lapse_data!$A:$A, "&gt;="&amp;DATE($A15,1,1),
        Lapse_data!$A:$A, "&lt;="&amp;DATE($A15,12,31))</f>
        <v>0</v>
      </c>
      <c r="CJ15">
        <f>SUMIFS(Lapse_data!CJ:CJ,
        Lapse_data!$A:$A, "&gt;="&amp;DATE($A15,1,1),
        Lapse_data!$A:$A, "&lt;="&amp;DATE($A15,12,31))</f>
        <v>0</v>
      </c>
      <c r="CK15">
        <f>SUMIFS(Lapse_data!CK:CK,
        Lapse_data!$A:$A, "&gt;="&amp;DATE($A15,1,1),
        Lapse_data!$A:$A, "&lt;="&amp;DATE($A15,12,31))</f>
        <v>0</v>
      </c>
      <c r="CL15">
        <f>SUMIFS(Lapse_data!CL:CL,
        Lapse_data!$A:$A, "&gt;="&amp;DATE($A15,1,1),
        Lapse_data!$A:$A, "&lt;="&amp;DATE($A15,12,31))</f>
        <v>0</v>
      </c>
      <c r="CM15">
        <f>SUMIFS(Lapse_data!CM:CM,
        Lapse_data!$A:$A, "&gt;="&amp;DATE($A15,1,1),
        Lapse_data!$A:$A, "&lt;="&amp;DATE($A15,12,31))</f>
        <v>0</v>
      </c>
      <c r="CN15">
        <f>SUMIFS(Lapse_data!CN:CN,
        Lapse_data!$A:$A, "&gt;="&amp;DATE($A15,1,1),
        Lapse_data!$A:$A, "&lt;="&amp;DATE($A15,12,31))</f>
        <v>0</v>
      </c>
      <c r="CO15">
        <f>SUMIFS(Lapse_data!CO:CO,
        Lapse_data!$A:$A, "&gt;="&amp;DATE($A15,1,1),
        Lapse_data!$A:$A, "&lt;="&amp;DATE($A15,12,31))</f>
        <v>0</v>
      </c>
      <c r="CP15">
        <f>SUMIFS(Lapse_data!CP:CP,
        Lapse_data!$A:$A, "&gt;="&amp;DATE($A15,1,1),
        Lapse_data!$A:$A, "&lt;="&amp;DATE($A15,12,31))</f>
        <v>0</v>
      </c>
      <c r="CQ15">
        <f>SUMIFS(Lapse_data!CQ:CQ,
        Lapse_data!$A:$A, "&gt;="&amp;DATE($A15,1,1),
        Lapse_data!$A:$A, "&lt;="&amp;DATE($A15,12,31))</f>
        <v>0</v>
      </c>
      <c r="CR15">
        <f>SUMIFS(Lapse_data!CR:CR,
        Lapse_data!$A:$A, "&gt;="&amp;DATE($A15,1,1),
        Lapse_data!$A:$A, "&lt;="&amp;DATE($A15,12,31))</f>
        <v>0</v>
      </c>
      <c r="CS15">
        <f>SUMIFS(Lapse_data!CS:CS,
        Lapse_data!$A:$A, "&gt;="&amp;DATE($A15,1,1),
        Lapse_data!$A:$A, "&lt;="&amp;DATE($A15,12,31))</f>
        <v>0</v>
      </c>
      <c r="CT15">
        <f>SUMIFS(Lapse_data!CT:CT,
        Lapse_data!$A:$A, "&gt;="&amp;DATE($A15,1,1),
        Lapse_data!$A:$A, "&lt;="&amp;DATE($A15,12,31))</f>
        <v>0</v>
      </c>
      <c r="CU15">
        <f>SUMIFS(Lapse_data!CU:CU,
        Lapse_data!$A:$A, "&gt;="&amp;DATE($A15,1,1),
        Lapse_data!$A:$A, "&lt;="&amp;DATE($A15,12,31))</f>
        <v>0</v>
      </c>
      <c r="CV15">
        <f>SUMIFS(Lapse_data!CV:CV,
        Lapse_data!$A:$A, "&gt;="&amp;DATE($A15,1,1),
        Lapse_data!$A:$A, "&lt;="&amp;DATE($A15,12,31))</f>
        <v>0</v>
      </c>
      <c r="CW15">
        <f>SUMIFS(Lapse_data!CW:CW,
        Lapse_data!$A:$A, "&gt;="&amp;DATE($A15,1,1),
        Lapse_data!$A:$A, "&lt;="&amp;DATE($A15,12,31))</f>
        <v>0</v>
      </c>
      <c r="CX15">
        <f>SUMIFS(Lapse_data!CX:CX,
        Lapse_data!$A:$A, "&gt;="&amp;DATE($A15,1,1),
        Lapse_data!$A:$A, "&lt;="&amp;DATE($A15,12,31))</f>
        <v>0</v>
      </c>
      <c r="CY15">
        <f>SUMIFS(Lapse_data!CY:CY,
        Lapse_data!$A:$A, "&gt;="&amp;DATE($A15,1,1),
        Lapse_data!$A:$A, "&lt;="&amp;DATE($A15,12,31))</f>
        <v>0</v>
      </c>
      <c r="CZ15">
        <f>SUMIFS(Lapse_data!CZ:CZ,
        Lapse_data!$A:$A, "&gt;="&amp;DATE($A15,1,1),
        Lapse_data!$A:$A, "&lt;="&amp;DATE($A15,12,31))</f>
        <v>0</v>
      </c>
      <c r="DA15">
        <f>SUMIFS(Lapse_data!DA:DA,
        Lapse_data!$A:$A, "&gt;="&amp;DATE($A15,1,1),
        Lapse_data!$A:$A, "&lt;="&amp;DATE($A15,12,31))</f>
        <v>0</v>
      </c>
      <c r="DB15">
        <f>SUMIFS(Lapse_data!DB:DB,
        Lapse_data!$A:$A, "&gt;="&amp;DATE($A15,1,1),
        Lapse_data!$A:$A, "&lt;="&amp;DATE($A15,12,31))</f>
        <v>0</v>
      </c>
      <c r="DC15">
        <f>SUMIFS(Lapse_data!DC:DC,
        Lapse_data!$A:$A, "&gt;="&amp;DATE($A15,1,1),
        Lapse_data!$A:$A, "&lt;="&amp;DATE($A15,12,31))</f>
        <v>0</v>
      </c>
      <c r="DD15">
        <f>SUMIFS(Lapse_data!DD:DD,
        Lapse_data!$A:$A, "&gt;="&amp;DATE($A15,1,1),
        Lapse_data!$A:$A, "&lt;="&amp;DATE($A15,12,31))</f>
        <v>0</v>
      </c>
      <c r="DE15">
        <f>SUMIFS(Lapse_data!DE:DE,
        Lapse_data!$A:$A, "&gt;="&amp;DATE($A15,1,1),
        Lapse_data!$A:$A, "&lt;="&amp;DATE($A15,12,31))</f>
        <v>0</v>
      </c>
      <c r="DF15">
        <f>SUMIFS(Lapse_data!DF:DF,
        Lapse_data!$A:$A, "&gt;="&amp;DATE($A15,1,1),
        Lapse_data!$A:$A, "&lt;="&amp;DATE($A15,12,31))</f>
        <v>0</v>
      </c>
      <c r="DG15">
        <f>SUMIFS(Lapse_data!DG:DG,
        Lapse_data!$A:$A, "&gt;="&amp;DATE($A15,1,1),
        Lapse_data!$A:$A, "&lt;="&amp;DATE($A15,12,31))</f>
        <v>0</v>
      </c>
      <c r="DH15">
        <f>SUMIFS(Lapse_data!DH:DH,
        Lapse_data!$A:$A, "&gt;="&amp;DATE($A15,1,1),
        Lapse_data!$A:$A, "&lt;="&amp;DATE($A15,12,31))</f>
        <v>0</v>
      </c>
      <c r="DI15">
        <f>SUMIFS(Lapse_data!DI:DI,
        Lapse_data!$A:$A, "&gt;="&amp;DATE($A15,1,1),
        Lapse_data!$A:$A, "&lt;="&amp;DATE($A15,12,31))</f>
        <v>0</v>
      </c>
      <c r="DJ15">
        <f>SUMIFS(Lapse_data!DJ:DJ,
        Lapse_data!$A:$A, "&gt;="&amp;DATE($A15,1,1),
        Lapse_data!$A:$A, "&lt;="&amp;DATE($A15,12,31))</f>
        <v>0</v>
      </c>
      <c r="DK15">
        <f>SUMIFS(Lapse_data!DK:DK,
        Lapse_data!$A:$A, "&gt;="&amp;DATE($A15,1,1),
        Lapse_data!$A:$A, "&lt;="&amp;DATE($A15,12,31))</f>
        <v>0</v>
      </c>
      <c r="DL15">
        <f>SUMIFS(Lapse_data!DL:DL,
        Lapse_data!$A:$A, "&gt;="&amp;DATE($A15,1,1),
        Lapse_data!$A:$A, "&lt;="&amp;DATE($A15,12,31))</f>
        <v>0</v>
      </c>
      <c r="DM15">
        <f>SUMIFS(Lapse_data!DM:DM,
        Lapse_data!$A:$A, "&gt;="&amp;DATE($A15,1,1),
        Lapse_data!$A:$A, "&lt;="&amp;DATE($A15,12,31))</f>
        <v>0</v>
      </c>
      <c r="DN15">
        <f>SUMIFS(Lapse_data!DN:DN,
        Lapse_data!$A:$A, "&gt;="&amp;DATE($A15,1,1),
        Lapse_data!$A:$A, "&lt;="&amp;DATE($A15,12,31))</f>
        <v>0</v>
      </c>
      <c r="DO15">
        <f>SUMIFS(Lapse_data!DO:DO,
        Lapse_data!$A:$A, "&gt;="&amp;DATE($A15,1,1),
        Lapse_data!$A:$A, "&lt;="&amp;DATE($A15,12,31))</f>
        <v>0</v>
      </c>
      <c r="DP15">
        <f>SUMIFS(Lapse_data!DP:DP,
        Lapse_data!$A:$A, "&gt;="&amp;DATE($A15,1,1),
        Lapse_data!$A:$A, "&lt;="&amp;DATE($A15,12,31))</f>
        <v>0</v>
      </c>
      <c r="DQ15">
        <f>SUMIFS(Lapse_data!DQ:DQ,
        Lapse_data!$A:$A, "&gt;="&amp;DATE($A15,1,1),
        Lapse_data!$A:$A, "&lt;="&amp;DATE($A15,12,31))</f>
        <v>0</v>
      </c>
    </row>
    <row r="16" spans="1:121" x14ac:dyDescent="0.35">
      <c r="A16" s="10">
        <v>2023</v>
      </c>
      <c r="B16">
        <f>SUMIFS(Lapse_data!B:B,
        Lapse_data!$A:$A, "&gt;="&amp;DATE($A16,1,1),
        Lapse_data!$A:$A, "&lt;="&amp;DATE($A16,12,31))</f>
        <v>535</v>
      </c>
      <c r="C16">
        <f>SUMIFS(Lapse_data!C:C,
        Lapse_data!$A:$A, "&gt;="&amp;DATE($A16,1,1),
        Lapse_data!$A:$A, "&lt;="&amp;DATE($A16,12,31))</f>
        <v>380</v>
      </c>
      <c r="D16">
        <f>SUMIFS(Lapse_data!D:D,
        Lapse_data!$A:$A, "&gt;="&amp;DATE($A16,1,1),
        Lapse_data!$A:$A, "&lt;="&amp;DATE($A16,12,31))</f>
        <v>359</v>
      </c>
      <c r="E16">
        <f>SUMIFS(Lapse_data!E:E,
        Lapse_data!$A:$A, "&gt;="&amp;DATE($A16,1,1),
        Lapse_data!$A:$A, "&lt;="&amp;DATE($A16,12,31))</f>
        <v>216</v>
      </c>
      <c r="F16">
        <f>SUMIFS(Lapse_data!F:F,
        Lapse_data!$A:$A, "&gt;="&amp;DATE($A16,1,1),
        Lapse_data!$A:$A, "&lt;="&amp;DATE($A16,12,31))</f>
        <v>152</v>
      </c>
      <c r="G16">
        <f>SUMIFS(Lapse_data!G:G,
        Lapse_data!$A:$A, "&gt;="&amp;DATE($A16,1,1),
        Lapse_data!$A:$A, "&lt;="&amp;DATE($A16,12,31))</f>
        <v>114</v>
      </c>
      <c r="H16">
        <f>SUMIFS(Lapse_data!H:H,
        Lapse_data!$A:$A, "&gt;="&amp;DATE($A16,1,1),
        Lapse_data!$A:$A, "&lt;="&amp;DATE($A16,12,31))</f>
        <v>95</v>
      </c>
      <c r="I16">
        <f>SUMIFS(Lapse_data!I:I,
        Lapse_data!$A:$A, "&gt;="&amp;DATE($A16,1,1),
        Lapse_data!$A:$A, "&lt;="&amp;DATE($A16,12,31))</f>
        <v>79</v>
      </c>
      <c r="J16">
        <f>SUMIFS(Lapse_data!J:J,
        Lapse_data!$A:$A, "&gt;="&amp;DATE($A16,1,1),
        Lapse_data!$A:$A, "&lt;="&amp;DATE($A16,12,31))</f>
        <v>91</v>
      </c>
      <c r="K16">
        <f>SUMIFS(Lapse_data!K:K,
        Lapse_data!$A:$A, "&gt;="&amp;DATE($A16,1,1),
        Lapse_data!$A:$A, "&lt;="&amp;DATE($A16,12,31))</f>
        <v>65</v>
      </c>
      <c r="L16">
        <f>SUMIFS(Lapse_data!L:L,
        Lapse_data!$A:$A, "&gt;="&amp;DATE($A16,1,1),
        Lapse_data!$A:$A, "&lt;="&amp;DATE($A16,12,31))</f>
        <v>68</v>
      </c>
      <c r="M16">
        <f>SUMIFS(Lapse_data!M:M,
        Lapse_data!$A:$A, "&gt;="&amp;DATE($A16,1,1),
        Lapse_data!$A:$A, "&lt;="&amp;DATE($A16,12,31))</f>
        <v>64</v>
      </c>
      <c r="N16">
        <f>SUMIFS(Lapse_data!N:N,
        Lapse_data!$A:$A, "&gt;="&amp;DATE($A16,1,1),
        Lapse_data!$A:$A, "&lt;="&amp;DATE($A16,12,31))</f>
        <v>43</v>
      </c>
      <c r="O16">
        <f>SUMIFS(Lapse_data!O:O,
        Lapse_data!$A:$A, "&gt;="&amp;DATE($A16,1,1),
        Lapse_data!$A:$A, "&lt;="&amp;DATE($A16,12,31))</f>
        <v>50</v>
      </c>
      <c r="P16">
        <f>SUMIFS(Lapse_data!P:P,
        Lapse_data!$A:$A, "&gt;="&amp;DATE($A16,1,1),
        Lapse_data!$A:$A, "&lt;="&amp;DATE($A16,12,31))</f>
        <v>29</v>
      </c>
      <c r="Q16">
        <f>SUMIFS(Lapse_data!Q:Q,
        Lapse_data!$A:$A, "&gt;="&amp;DATE($A16,1,1),
        Lapse_data!$A:$A, "&lt;="&amp;DATE($A16,12,31))</f>
        <v>31</v>
      </c>
      <c r="R16">
        <f>SUMIFS(Lapse_data!R:R,
        Lapse_data!$A:$A, "&gt;="&amp;DATE($A16,1,1),
        Lapse_data!$A:$A, "&lt;="&amp;DATE($A16,12,31))</f>
        <v>22</v>
      </c>
      <c r="S16">
        <f>SUMIFS(Lapse_data!S:S,
        Lapse_data!$A:$A, "&gt;="&amp;DATE($A16,1,1),
        Lapse_data!$A:$A, "&lt;="&amp;DATE($A16,12,31))</f>
        <v>17</v>
      </c>
      <c r="T16">
        <f>SUMIFS(Lapse_data!T:T,
        Lapse_data!$A:$A, "&gt;="&amp;DATE($A16,1,1),
        Lapse_data!$A:$A, "&lt;="&amp;DATE($A16,12,31))</f>
        <v>7</v>
      </c>
      <c r="U16">
        <f>SUMIFS(Lapse_data!U:U,
        Lapse_data!$A:$A, "&gt;="&amp;DATE($A16,1,1),
        Lapse_data!$A:$A, "&lt;="&amp;DATE($A16,12,31))</f>
        <v>7</v>
      </c>
      <c r="V16">
        <f>SUMIFS(Lapse_data!V:V,
        Lapse_data!$A:$A, "&gt;="&amp;DATE($A16,1,1),
        Lapse_data!$A:$A, "&lt;="&amp;DATE($A16,12,31))</f>
        <v>5</v>
      </c>
      <c r="W16">
        <f>SUMIFS(Lapse_data!W:W,
        Lapse_data!$A:$A, "&gt;="&amp;DATE($A16,1,1),
        Lapse_data!$A:$A, "&lt;="&amp;DATE($A16,12,31))</f>
        <v>2</v>
      </c>
      <c r="X16">
        <f>SUMIFS(Lapse_data!X:X,
        Lapse_data!$A:$A, "&gt;="&amp;DATE($A16,1,1),
        Lapse_data!$A:$A, "&lt;="&amp;DATE($A16,12,31))</f>
        <v>4</v>
      </c>
      <c r="Y16">
        <f>SUMIFS(Lapse_data!Y:Y,
        Lapse_data!$A:$A, "&gt;="&amp;DATE($A16,1,1),
        Lapse_data!$A:$A, "&lt;="&amp;DATE($A16,12,31))</f>
        <v>0</v>
      </c>
      <c r="Z16">
        <f>SUMIFS(Lapse_data!Z:Z,
        Lapse_data!$A:$A, "&gt;="&amp;DATE($A16,1,1),
        Lapse_data!$A:$A, "&lt;="&amp;DATE($A16,12,31))</f>
        <v>0</v>
      </c>
      <c r="AA16">
        <f>SUMIFS(Lapse_data!AA:AA,
        Lapse_data!$A:$A, "&gt;="&amp;DATE($A16,1,1),
        Lapse_data!$A:$A, "&lt;="&amp;DATE($A16,12,31))</f>
        <v>0</v>
      </c>
      <c r="AB16">
        <f>SUMIFS(Lapse_data!AB:AB,
        Lapse_data!$A:$A, "&gt;="&amp;DATE($A16,1,1),
        Lapse_data!$A:$A, "&lt;="&amp;DATE($A16,12,31))</f>
        <v>0</v>
      </c>
      <c r="AC16">
        <f>SUMIFS(Lapse_data!AC:AC,
        Lapse_data!$A:$A, "&gt;="&amp;DATE($A16,1,1),
        Lapse_data!$A:$A, "&lt;="&amp;DATE($A16,12,31))</f>
        <v>0</v>
      </c>
      <c r="AD16">
        <f>SUMIFS(Lapse_data!AD:AD,
        Lapse_data!$A:$A, "&gt;="&amp;DATE($A16,1,1),
        Lapse_data!$A:$A, "&lt;="&amp;DATE($A16,12,31))</f>
        <v>0</v>
      </c>
      <c r="AE16">
        <f>SUMIFS(Lapse_data!AE:AE,
        Lapse_data!$A:$A, "&gt;="&amp;DATE($A16,1,1),
        Lapse_data!$A:$A, "&lt;="&amp;DATE($A16,12,31))</f>
        <v>0</v>
      </c>
      <c r="AF16">
        <f>SUMIFS(Lapse_data!AF:AF,
        Lapse_data!$A:$A, "&gt;="&amp;DATE($A16,1,1),
        Lapse_data!$A:$A, "&lt;="&amp;DATE($A16,12,31))</f>
        <v>0</v>
      </c>
      <c r="AG16">
        <f>SUMIFS(Lapse_data!AG:AG,
        Lapse_data!$A:$A, "&gt;="&amp;DATE($A16,1,1),
        Lapse_data!$A:$A, "&lt;="&amp;DATE($A16,12,31))</f>
        <v>0</v>
      </c>
      <c r="AH16">
        <f>SUMIFS(Lapse_data!AH:AH,
        Lapse_data!$A:$A, "&gt;="&amp;DATE($A16,1,1),
        Lapse_data!$A:$A, "&lt;="&amp;DATE($A16,12,31))</f>
        <v>0</v>
      </c>
      <c r="AI16">
        <f>SUMIFS(Lapse_data!AI:AI,
        Lapse_data!$A:$A, "&gt;="&amp;DATE($A16,1,1),
        Lapse_data!$A:$A, "&lt;="&amp;DATE($A16,12,31))</f>
        <v>0</v>
      </c>
      <c r="AJ16">
        <f>SUMIFS(Lapse_data!AJ:AJ,
        Lapse_data!$A:$A, "&gt;="&amp;DATE($A16,1,1),
        Lapse_data!$A:$A, "&lt;="&amp;DATE($A16,12,31))</f>
        <v>0</v>
      </c>
      <c r="AK16">
        <f>SUMIFS(Lapse_data!AK:AK,
        Lapse_data!$A:$A, "&gt;="&amp;DATE($A16,1,1),
        Lapse_data!$A:$A, "&lt;="&amp;DATE($A16,12,31))</f>
        <v>0</v>
      </c>
      <c r="AL16">
        <f>SUMIFS(Lapse_data!AL:AL,
        Lapse_data!$A:$A, "&gt;="&amp;DATE($A16,1,1),
        Lapse_data!$A:$A, "&lt;="&amp;DATE($A16,12,31))</f>
        <v>0</v>
      </c>
      <c r="AM16">
        <f>SUMIFS(Lapse_data!AM:AM,
        Lapse_data!$A:$A, "&gt;="&amp;DATE($A16,1,1),
        Lapse_data!$A:$A, "&lt;="&amp;DATE($A16,12,31))</f>
        <v>0</v>
      </c>
      <c r="AN16">
        <f>SUMIFS(Lapse_data!AN:AN,
        Lapse_data!$A:$A, "&gt;="&amp;DATE($A16,1,1),
        Lapse_data!$A:$A, "&lt;="&amp;DATE($A16,12,31))</f>
        <v>0</v>
      </c>
      <c r="AO16">
        <f>SUMIFS(Lapse_data!AO:AO,
        Lapse_data!$A:$A, "&gt;="&amp;DATE($A16,1,1),
        Lapse_data!$A:$A, "&lt;="&amp;DATE($A16,12,31))</f>
        <v>0</v>
      </c>
      <c r="AP16">
        <f>SUMIFS(Lapse_data!AP:AP,
        Lapse_data!$A:$A, "&gt;="&amp;DATE($A16,1,1),
        Lapse_data!$A:$A, "&lt;="&amp;DATE($A16,12,31))</f>
        <v>0</v>
      </c>
      <c r="AQ16">
        <f>SUMIFS(Lapse_data!AQ:AQ,
        Lapse_data!$A:$A, "&gt;="&amp;DATE($A16,1,1),
        Lapse_data!$A:$A, "&lt;="&amp;DATE($A16,12,31))</f>
        <v>0</v>
      </c>
      <c r="AR16">
        <f>SUMIFS(Lapse_data!AR:AR,
        Lapse_data!$A:$A, "&gt;="&amp;DATE($A16,1,1),
        Lapse_data!$A:$A, "&lt;="&amp;DATE($A16,12,31))</f>
        <v>0</v>
      </c>
      <c r="AS16">
        <f>SUMIFS(Lapse_data!AS:AS,
        Lapse_data!$A:$A, "&gt;="&amp;DATE($A16,1,1),
        Lapse_data!$A:$A, "&lt;="&amp;DATE($A16,12,31))</f>
        <v>0</v>
      </c>
      <c r="AT16">
        <f>SUMIFS(Lapse_data!AT:AT,
        Lapse_data!$A:$A, "&gt;="&amp;DATE($A16,1,1),
        Lapse_data!$A:$A, "&lt;="&amp;DATE($A16,12,31))</f>
        <v>0</v>
      </c>
      <c r="AU16">
        <f>SUMIFS(Lapse_data!AU:AU,
        Lapse_data!$A:$A, "&gt;="&amp;DATE($A16,1,1),
        Lapse_data!$A:$A, "&lt;="&amp;DATE($A16,12,31))</f>
        <v>0</v>
      </c>
      <c r="AV16">
        <f>SUMIFS(Lapse_data!AV:AV,
        Lapse_data!$A:$A, "&gt;="&amp;DATE($A16,1,1),
        Lapse_data!$A:$A, "&lt;="&amp;DATE($A16,12,31))</f>
        <v>0</v>
      </c>
      <c r="AW16">
        <f>SUMIFS(Lapse_data!AW:AW,
        Lapse_data!$A:$A, "&gt;="&amp;DATE($A16,1,1),
        Lapse_data!$A:$A, "&lt;="&amp;DATE($A16,12,31))</f>
        <v>0</v>
      </c>
      <c r="AX16">
        <f>SUMIFS(Lapse_data!AX:AX,
        Lapse_data!$A:$A, "&gt;="&amp;DATE($A16,1,1),
        Lapse_data!$A:$A, "&lt;="&amp;DATE($A16,12,31))</f>
        <v>0</v>
      </c>
      <c r="AY16">
        <f>SUMIFS(Lapse_data!AY:AY,
        Lapse_data!$A:$A, "&gt;="&amp;DATE($A16,1,1),
        Lapse_data!$A:$A, "&lt;="&amp;DATE($A16,12,31))</f>
        <v>0</v>
      </c>
      <c r="AZ16">
        <f>SUMIFS(Lapse_data!AZ:AZ,
        Lapse_data!$A:$A, "&gt;="&amp;DATE($A16,1,1),
        Lapse_data!$A:$A, "&lt;="&amp;DATE($A16,12,31))</f>
        <v>0</v>
      </c>
      <c r="BA16">
        <f>SUMIFS(Lapse_data!BA:BA,
        Lapse_data!$A:$A, "&gt;="&amp;DATE($A16,1,1),
        Lapse_data!$A:$A, "&lt;="&amp;DATE($A16,12,31))</f>
        <v>0</v>
      </c>
      <c r="BB16">
        <f>SUMIFS(Lapse_data!BB:BB,
        Lapse_data!$A:$A, "&gt;="&amp;DATE($A16,1,1),
        Lapse_data!$A:$A, "&lt;="&amp;DATE($A16,12,31))</f>
        <v>0</v>
      </c>
      <c r="BC16">
        <f>SUMIFS(Lapse_data!BC:BC,
        Lapse_data!$A:$A, "&gt;="&amp;DATE($A16,1,1),
        Lapse_data!$A:$A, "&lt;="&amp;DATE($A16,12,31))</f>
        <v>0</v>
      </c>
      <c r="BD16">
        <f>SUMIFS(Lapse_data!BD:BD,
        Lapse_data!$A:$A, "&gt;="&amp;DATE($A16,1,1),
        Lapse_data!$A:$A, "&lt;="&amp;DATE($A16,12,31))</f>
        <v>0</v>
      </c>
      <c r="BE16">
        <f>SUMIFS(Lapse_data!BE:BE,
        Lapse_data!$A:$A, "&gt;="&amp;DATE($A16,1,1),
        Lapse_data!$A:$A, "&lt;="&amp;DATE($A16,12,31))</f>
        <v>0</v>
      </c>
      <c r="BF16">
        <f>SUMIFS(Lapse_data!BF:BF,
        Lapse_data!$A:$A, "&gt;="&amp;DATE($A16,1,1),
        Lapse_data!$A:$A, "&lt;="&amp;DATE($A16,12,31))</f>
        <v>0</v>
      </c>
      <c r="BG16">
        <f>SUMIFS(Lapse_data!BG:BG,
        Lapse_data!$A:$A, "&gt;="&amp;DATE($A16,1,1),
        Lapse_data!$A:$A, "&lt;="&amp;DATE($A16,12,31))</f>
        <v>0</v>
      </c>
      <c r="BH16">
        <f>SUMIFS(Lapse_data!BH:BH,
        Lapse_data!$A:$A, "&gt;="&amp;DATE($A16,1,1),
        Lapse_data!$A:$A, "&lt;="&amp;DATE($A16,12,31))</f>
        <v>0</v>
      </c>
      <c r="BI16">
        <f>SUMIFS(Lapse_data!BI:BI,
        Lapse_data!$A:$A, "&gt;="&amp;DATE($A16,1,1),
        Lapse_data!$A:$A, "&lt;="&amp;DATE($A16,12,31))</f>
        <v>0</v>
      </c>
      <c r="BJ16">
        <f>SUMIFS(Lapse_data!BJ:BJ,
        Lapse_data!$A:$A, "&gt;="&amp;DATE($A16,1,1),
        Lapse_data!$A:$A, "&lt;="&amp;DATE($A16,12,31))</f>
        <v>0</v>
      </c>
      <c r="BK16">
        <f>SUMIFS(Lapse_data!BK:BK,
        Lapse_data!$A:$A, "&gt;="&amp;DATE($A16,1,1),
        Lapse_data!$A:$A, "&lt;="&amp;DATE($A16,12,31))</f>
        <v>0</v>
      </c>
      <c r="BL16">
        <f>SUMIFS(Lapse_data!BL:BL,
        Lapse_data!$A:$A, "&gt;="&amp;DATE($A16,1,1),
        Lapse_data!$A:$A, "&lt;="&amp;DATE($A16,12,31))</f>
        <v>0</v>
      </c>
      <c r="BM16">
        <f>SUMIFS(Lapse_data!BM:BM,
        Lapse_data!$A:$A, "&gt;="&amp;DATE($A16,1,1),
        Lapse_data!$A:$A, "&lt;="&amp;DATE($A16,12,31))</f>
        <v>0</v>
      </c>
      <c r="BN16">
        <f>SUMIFS(Lapse_data!BN:BN,
        Lapse_data!$A:$A, "&gt;="&amp;DATE($A16,1,1),
        Lapse_data!$A:$A, "&lt;="&amp;DATE($A16,12,31))</f>
        <v>0</v>
      </c>
      <c r="BO16">
        <f>SUMIFS(Lapse_data!BO:BO,
        Lapse_data!$A:$A, "&gt;="&amp;DATE($A16,1,1),
        Lapse_data!$A:$A, "&lt;="&amp;DATE($A16,12,31))</f>
        <v>0</v>
      </c>
      <c r="BP16">
        <f>SUMIFS(Lapse_data!BP:BP,
        Lapse_data!$A:$A, "&gt;="&amp;DATE($A16,1,1),
        Lapse_data!$A:$A, "&lt;="&amp;DATE($A16,12,31))</f>
        <v>0</v>
      </c>
      <c r="BQ16">
        <f>SUMIFS(Lapse_data!BQ:BQ,
        Lapse_data!$A:$A, "&gt;="&amp;DATE($A16,1,1),
        Lapse_data!$A:$A, "&lt;="&amp;DATE($A16,12,31))</f>
        <v>0</v>
      </c>
      <c r="BR16">
        <f>SUMIFS(Lapse_data!BR:BR,
        Lapse_data!$A:$A, "&gt;="&amp;DATE($A16,1,1),
        Lapse_data!$A:$A, "&lt;="&amp;DATE($A16,12,31))</f>
        <v>0</v>
      </c>
      <c r="BS16">
        <f>SUMIFS(Lapse_data!BS:BS,
        Lapse_data!$A:$A, "&gt;="&amp;DATE($A16,1,1),
        Lapse_data!$A:$A, "&lt;="&amp;DATE($A16,12,31))</f>
        <v>0</v>
      </c>
      <c r="BT16">
        <f>SUMIFS(Lapse_data!BT:BT,
        Lapse_data!$A:$A, "&gt;="&amp;DATE($A16,1,1),
        Lapse_data!$A:$A, "&lt;="&amp;DATE($A16,12,31))</f>
        <v>0</v>
      </c>
      <c r="BU16">
        <f>SUMIFS(Lapse_data!BU:BU,
        Lapse_data!$A:$A, "&gt;="&amp;DATE($A16,1,1),
        Lapse_data!$A:$A, "&lt;="&amp;DATE($A16,12,31))</f>
        <v>0</v>
      </c>
      <c r="BV16">
        <f>SUMIFS(Lapse_data!BV:BV,
        Lapse_data!$A:$A, "&gt;="&amp;DATE($A16,1,1),
        Lapse_data!$A:$A, "&lt;="&amp;DATE($A16,12,31))</f>
        <v>0</v>
      </c>
      <c r="BW16">
        <f>SUMIFS(Lapse_data!BW:BW,
        Lapse_data!$A:$A, "&gt;="&amp;DATE($A16,1,1),
        Lapse_data!$A:$A, "&lt;="&amp;DATE($A16,12,31))</f>
        <v>0</v>
      </c>
      <c r="BX16">
        <f>SUMIFS(Lapse_data!BX:BX,
        Lapse_data!$A:$A, "&gt;="&amp;DATE($A16,1,1),
        Lapse_data!$A:$A, "&lt;="&amp;DATE($A16,12,31))</f>
        <v>0</v>
      </c>
      <c r="BY16">
        <f>SUMIFS(Lapse_data!BY:BY,
        Lapse_data!$A:$A, "&gt;="&amp;DATE($A16,1,1),
        Lapse_data!$A:$A, "&lt;="&amp;DATE($A16,12,31))</f>
        <v>0</v>
      </c>
      <c r="BZ16">
        <f>SUMIFS(Lapse_data!BZ:BZ,
        Lapse_data!$A:$A, "&gt;="&amp;DATE($A16,1,1),
        Lapse_data!$A:$A, "&lt;="&amp;DATE($A16,12,31))</f>
        <v>0</v>
      </c>
      <c r="CA16">
        <f>SUMIFS(Lapse_data!CA:CA,
        Lapse_data!$A:$A, "&gt;="&amp;DATE($A16,1,1),
        Lapse_data!$A:$A, "&lt;="&amp;DATE($A16,12,31))</f>
        <v>0</v>
      </c>
      <c r="CB16">
        <f>SUMIFS(Lapse_data!CB:CB,
        Lapse_data!$A:$A, "&gt;="&amp;DATE($A16,1,1),
        Lapse_data!$A:$A, "&lt;="&amp;DATE($A16,12,31))</f>
        <v>0</v>
      </c>
      <c r="CC16">
        <f>SUMIFS(Lapse_data!CC:CC,
        Lapse_data!$A:$A, "&gt;="&amp;DATE($A16,1,1),
        Lapse_data!$A:$A, "&lt;="&amp;DATE($A16,12,31))</f>
        <v>0</v>
      </c>
      <c r="CD16">
        <f>SUMIFS(Lapse_data!CD:CD,
        Lapse_data!$A:$A, "&gt;="&amp;DATE($A16,1,1),
        Lapse_data!$A:$A, "&lt;="&amp;DATE($A16,12,31))</f>
        <v>0</v>
      </c>
      <c r="CE16">
        <f>SUMIFS(Lapse_data!CE:CE,
        Lapse_data!$A:$A, "&gt;="&amp;DATE($A16,1,1),
        Lapse_data!$A:$A, "&lt;="&amp;DATE($A16,12,31))</f>
        <v>0</v>
      </c>
      <c r="CF16">
        <f>SUMIFS(Lapse_data!CF:CF,
        Lapse_data!$A:$A, "&gt;="&amp;DATE($A16,1,1),
        Lapse_data!$A:$A, "&lt;="&amp;DATE($A16,12,31))</f>
        <v>0</v>
      </c>
      <c r="CG16">
        <f>SUMIFS(Lapse_data!CG:CG,
        Lapse_data!$A:$A, "&gt;="&amp;DATE($A16,1,1),
        Lapse_data!$A:$A, "&lt;="&amp;DATE($A16,12,31))</f>
        <v>0</v>
      </c>
      <c r="CH16">
        <f>SUMIFS(Lapse_data!CH:CH,
        Lapse_data!$A:$A, "&gt;="&amp;DATE($A16,1,1),
        Lapse_data!$A:$A, "&lt;="&amp;DATE($A16,12,31))</f>
        <v>0</v>
      </c>
      <c r="CI16">
        <f>SUMIFS(Lapse_data!CI:CI,
        Lapse_data!$A:$A, "&gt;="&amp;DATE($A16,1,1),
        Lapse_data!$A:$A, "&lt;="&amp;DATE($A16,12,31))</f>
        <v>0</v>
      </c>
      <c r="CJ16">
        <f>SUMIFS(Lapse_data!CJ:CJ,
        Lapse_data!$A:$A, "&gt;="&amp;DATE($A16,1,1),
        Lapse_data!$A:$A, "&lt;="&amp;DATE($A16,12,31))</f>
        <v>0</v>
      </c>
      <c r="CK16">
        <f>SUMIFS(Lapse_data!CK:CK,
        Lapse_data!$A:$A, "&gt;="&amp;DATE($A16,1,1),
        Lapse_data!$A:$A, "&lt;="&amp;DATE($A16,12,31))</f>
        <v>0</v>
      </c>
      <c r="CL16">
        <f>SUMIFS(Lapse_data!CL:CL,
        Lapse_data!$A:$A, "&gt;="&amp;DATE($A16,1,1),
        Lapse_data!$A:$A, "&lt;="&amp;DATE($A16,12,31))</f>
        <v>0</v>
      </c>
      <c r="CM16">
        <f>SUMIFS(Lapse_data!CM:CM,
        Lapse_data!$A:$A, "&gt;="&amp;DATE($A16,1,1),
        Lapse_data!$A:$A, "&lt;="&amp;DATE($A16,12,31))</f>
        <v>0</v>
      </c>
      <c r="CN16">
        <f>SUMIFS(Lapse_data!CN:CN,
        Lapse_data!$A:$A, "&gt;="&amp;DATE($A16,1,1),
        Lapse_data!$A:$A, "&lt;="&amp;DATE($A16,12,31))</f>
        <v>0</v>
      </c>
      <c r="CO16">
        <f>SUMIFS(Lapse_data!CO:CO,
        Lapse_data!$A:$A, "&gt;="&amp;DATE($A16,1,1),
        Lapse_data!$A:$A, "&lt;="&amp;DATE($A16,12,31))</f>
        <v>0</v>
      </c>
      <c r="CP16">
        <f>SUMIFS(Lapse_data!CP:CP,
        Lapse_data!$A:$A, "&gt;="&amp;DATE($A16,1,1),
        Lapse_data!$A:$A, "&lt;="&amp;DATE($A16,12,31))</f>
        <v>0</v>
      </c>
      <c r="CQ16">
        <f>SUMIFS(Lapse_data!CQ:CQ,
        Lapse_data!$A:$A, "&gt;="&amp;DATE($A16,1,1),
        Lapse_data!$A:$A, "&lt;="&amp;DATE($A16,12,31))</f>
        <v>0</v>
      </c>
      <c r="CR16">
        <f>SUMIFS(Lapse_data!CR:CR,
        Lapse_data!$A:$A, "&gt;="&amp;DATE($A16,1,1),
        Lapse_data!$A:$A, "&lt;="&amp;DATE($A16,12,31))</f>
        <v>0</v>
      </c>
      <c r="CS16">
        <f>SUMIFS(Lapse_data!CS:CS,
        Lapse_data!$A:$A, "&gt;="&amp;DATE($A16,1,1),
        Lapse_data!$A:$A, "&lt;="&amp;DATE($A16,12,31))</f>
        <v>0</v>
      </c>
      <c r="CT16">
        <f>SUMIFS(Lapse_data!CT:CT,
        Lapse_data!$A:$A, "&gt;="&amp;DATE($A16,1,1),
        Lapse_data!$A:$A, "&lt;="&amp;DATE($A16,12,31))</f>
        <v>0</v>
      </c>
      <c r="CU16">
        <f>SUMIFS(Lapse_data!CU:CU,
        Lapse_data!$A:$A, "&gt;="&amp;DATE($A16,1,1),
        Lapse_data!$A:$A, "&lt;="&amp;DATE($A16,12,31))</f>
        <v>0</v>
      </c>
      <c r="CV16">
        <f>SUMIFS(Lapse_data!CV:CV,
        Lapse_data!$A:$A, "&gt;="&amp;DATE($A16,1,1),
        Lapse_data!$A:$A, "&lt;="&amp;DATE($A16,12,31))</f>
        <v>0</v>
      </c>
      <c r="CW16">
        <f>SUMIFS(Lapse_data!CW:CW,
        Lapse_data!$A:$A, "&gt;="&amp;DATE($A16,1,1),
        Lapse_data!$A:$A, "&lt;="&amp;DATE($A16,12,31))</f>
        <v>0</v>
      </c>
      <c r="CX16">
        <f>SUMIFS(Lapse_data!CX:CX,
        Lapse_data!$A:$A, "&gt;="&amp;DATE($A16,1,1),
        Lapse_data!$A:$A, "&lt;="&amp;DATE($A16,12,31))</f>
        <v>0</v>
      </c>
      <c r="CY16">
        <f>SUMIFS(Lapse_data!CY:CY,
        Lapse_data!$A:$A, "&gt;="&amp;DATE($A16,1,1),
        Lapse_data!$A:$A, "&lt;="&amp;DATE($A16,12,31))</f>
        <v>0</v>
      </c>
      <c r="CZ16">
        <f>SUMIFS(Lapse_data!CZ:CZ,
        Lapse_data!$A:$A, "&gt;="&amp;DATE($A16,1,1),
        Lapse_data!$A:$A, "&lt;="&amp;DATE($A16,12,31))</f>
        <v>0</v>
      </c>
      <c r="DA16">
        <f>SUMIFS(Lapse_data!DA:DA,
        Lapse_data!$A:$A, "&gt;="&amp;DATE($A16,1,1),
        Lapse_data!$A:$A, "&lt;="&amp;DATE($A16,12,31))</f>
        <v>0</v>
      </c>
      <c r="DB16">
        <f>SUMIFS(Lapse_data!DB:DB,
        Lapse_data!$A:$A, "&gt;="&amp;DATE($A16,1,1),
        Lapse_data!$A:$A, "&lt;="&amp;DATE($A16,12,31))</f>
        <v>0</v>
      </c>
      <c r="DC16">
        <f>SUMIFS(Lapse_data!DC:DC,
        Lapse_data!$A:$A, "&gt;="&amp;DATE($A16,1,1),
        Lapse_data!$A:$A, "&lt;="&amp;DATE($A16,12,31))</f>
        <v>0</v>
      </c>
      <c r="DD16">
        <f>SUMIFS(Lapse_data!DD:DD,
        Lapse_data!$A:$A, "&gt;="&amp;DATE($A16,1,1),
        Lapse_data!$A:$A, "&lt;="&amp;DATE($A16,12,31))</f>
        <v>0</v>
      </c>
      <c r="DE16">
        <f>SUMIFS(Lapse_data!DE:DE,
        Lapse_data!$A:$A, "&gt;="&amp;DATE($A16,1,1),
        Lapse_data!$A:$A, "&lt;="&amp;DATE($A16,12,31))</f>
        <v>0</v>
      </c>
      <c r="DF16">
        <f>SUMIFS(Lapse_data!DF:DF,
        Lapse_data!$A:$A, "&gt;="&amp;DATE($A16,1,1),
        Lapse_data!$A:$A, "&lt;="&amp;DATE($A16,12,31))</f>
        <v>0</v>
      </c>
      <c r="DG16">
        <f>SUMIFS(Lapse_data!DG:DG,
        Lapse_data!$A:$A, "&gt;="&amp;DATE($A16,1,1),
        Lapse_data!$A:$A, "&lt;="&amp;DATE($A16,12,31))</f>
        <v>0</v>
      </c>
      <c r="DH16">
        <f>SUMIFS(Lapse_data!DH:DH,
        Lapse_data!$A:$A, "&gt;="&amp;DATE($A16,1,1),
        Lapse_data!$A:$A, "&lt;="&amp;DATE($A16,12,31))</f>
        <v>0</v>
      </c>
      <c r="DI16">
        <f>SUMIFS(Lapse_data!DI:DI,
        Lapse_data!$A:$A, "&gt;="&amp;DATE($A16,1,1),
        Lapse_data!$A:$A, "&lt;="&amp;DATE($A16,12,31))</f>
        <v>0</v>
      </c>
      <c r="DJ16">
        <f>SUMIFS(Lapse_data!DJ:DJ,
        Lapse_data!$A:$A, "&gt;="&amp;DATE($A16,1,1),
        Lapse_data!$A:$A, "&lt;="&amp;DATE($A16,12,31))</f>
        <v>0</v>
      </c>
      <c r="DK16">
        <f>SUMIFS(Lapse_data!DK:DK,
        Lapse_data!$A:$A, "&gt;="&amp;DATE($A16,1,1),
        Lapse_data!$A:$A, "&lt;="&amp;DATE($A16,12,31))</f>
        <v>0</v>
      </c>
      <c r="DL16">
        <f>SUMIFS(Lapse_data!DL:DL,
        Lapse_data!$A:$A, "&gt;="&amp;DATE($A16,1,1),
        Lapse_data!$A:$A, "&lt;="&amp;DATE($A16,12,31))</f>
        <v>0</v>
      </c>
      <c r="DM16">
        <f>SUMIFS(Lapse_data!DM:DM,
        Lapse_data!$A:$A, "&gt;="&amp;DATE($A16,1,1),
        Lapse_data!$A:$A, "&lt;="&amp;DATE($A16,12,31))</f>
        <v>0</v>
      </c>
      <c r="DN16">
        <f>SUMIFS(Lapse_data!DN:DN,
        Lapse_data!$A:$A, "&gt;="&amp;DATE($A16,1,1),
        Lapse_data!$A:$A, "&lt;="&amp;DATE($A16,12,31))</f>
        <v>0</v>
      </c>
      <c r="DO16">
        <f>SUMIFS(Lapse_data!DO:DO,
        Lapse_data!$A:$A, "&gt;="&amp;DATE($A16,1,1),
        Lapse_data!$A:$A, "&lt;="&amp;DATE($A16,12,31))</f>
        <v>0</v>
      </c>
      <c r="DP16">
        <f>SUMIFS(Lapse_data!DP:DP,
        Lapse_data!$A:$A, "&gt;="&amp;DATE($A16,1,1),
        Lapse_data!$A:$A, "&lt;="&amp;DATE($A16,12,31))</f>
        <v>0</v>
      </c>
      <c r="DQ16">
        <f>SUMIFS(Lapse_data!DQ:DQ,
        Lapse_data!$A:$A, "&gt;="&amp;DATE($A16,1,1),
        Lapse_data!$A:$A, "&lt;="&amp;DATE($A16,12,31))</f>
        <v>0</v>
      </c>
    </row>
    <row r="17" spans="1:121" ht="15" thickBot="1" x14ac:dyDescent="0.4">
      <c r="A17" s="12">
        <v>2024</v>
      </c>
      <c r="B17">
        <f>SUMIFS(Lapse_data!B:B,
        Lapse_data!$A:$A, "&gt;="&amp;DATE($A17,1,1),
        Lapse_data!$A:$A, "&lt;="&amp;DATE($A17,12,31))</f>
        <v>208</v>
      </c>
      <c r="C17">
        <f>SUMIFS(Lapse_data!C:C,
        Lapse_data!$A:$A, "&gt;="&amp;DATE($A17,1,1),
        Lapse_data!$A:$A, "&lt;="&amp;DATE($A17,12,31))</f>
        <v>84</v>
      </c>
      <c r="D17">
        <f>SUMIFS(Lapse_data!D:D,
        Lapse_data!$A:$A, "&gt;="&amp;DATE($A17,1,1),
        Lapse_data!$A:$A, "&lt;="&amp;DATE($A17,12,31))</f>
        <v>96</v>
      </c>
      <c r="E17">
        <f>SUMIFS(Lapse_data!E:E,
        Lapse_data!$A:$A, "&gt;="&amp;DATE($A17,1,1),
        Lapse_data!$A:$A, "&lt;="&amp;DATE($A17,12,31))</f>
        <v>53</v>
      </c>
      <c r="F17">
        <f>SUMIFS(Lapse_data!F:F,
        Lapse_data!$A:$A, "&gt;="&amp;DATE($A17,1,1),
        Lapse_data!$A:$A, "&lt;="&amp;DATE($A17,12,31))</f>
        <v>42</v>
      </c>
      <c r="G17">
        <f>SUMIFS(Lapse_data!G:G,
        Lapse_data!$A:$A, "&gt;="&amp;DATE($A17,1,1),
        Lapse_data!$A:$A, "&lt;="&amp;DATE($A17,12,31))</f>
        <v>28</v>
      </c>
      <c r="H17">
        <f>SUMIFS(Lapse_data!H:H,
        Lapse_data!$A:$A, "&gt;="&amp;DATE($A17,1,1),
        Lapse_data!$A:$A, "&lt;="&amp;DATE($A17,12,31))</f>
        <v>19</v>
      </c>
      <c r="I17">
        <f>SUMIFS(Lapse_data!I:I,
        Lapse_data!$A:$A, "&gt;="&amp;DATE($A17,1,1),
        Lapse_data!$A:$A, "&lt;="&amp;DATE($A17,12,31))</f>
        <v>9</v>
      </c>
      <c r="J17">
        <f>SUMIFS(Lapse_data!J:J,
        Lapse_data!$A:$A, "&gt;="&amp;DATE($A17,1,1),
        Lapse_data!$A:$A, "&lt;="&amp;DATE($A17,12,31))</f>
        <v>3</v>
      </c>
      <c r="K17">
        <f>SUMIFS(Lapse_data!K:K,
        Lapse_data!$A:$A, "&gt;="&amp;DATE($A17,1,1),
        Lapse_data!$A:$A, "&lt;="&amp;DATE($A17,12,31))</f>
        <v>4</v>
      </c>
      <c r="L17">
        <f>SUMIFS(Lapse_data!L:L,
        Lapse_data!$A:$A, "&gt;="&amp;DATE($A17,1,1),
        Lapse_data!$A:$A, "&lt;="&amp;DATE($A17,12,31))</f>
        <v>4</v>
      </c>
      <c r="M17">
        <f>SUMIFS(Lapse_data!M:M,
        Lapse_data!$A:$A, "&gt;="&amp;DATE($A17,1,1),
        Lapse_data!$A:$A, "&lt;="&amp;DATE($A17,12,31))</f>
        <v>0</v>
      </c>
      <c r="N17">
        <f>SUMIFS(Lapse_data!N:N,
        Lapse_data!$A:$A, "&gt;="&amp;DATE($A17,1,1),
        Lapse_data!$A:$A, "&lt;="&amp;DATE($A17,12,31))</f>
        <v>0</v>
      </c>
      <c r="O17">
        <f>SUMIFS(Lapse_data!O:O,
        Lapse_data!$A:$A, "&gt;="&amp;DATE($A17,1,1),
        Lapse_data!$A:$A, "&lt;="&amp;DATE($A17,12,31))</f>
        <v>0</v>
      </c>
      <c r="P17">
        <f>SUMIFS(Lapse_data!P:P,
        Lapse_data!$A:$A, "&gt;="&amp;DATE($A17,1,1),
        Lapse_data!$A:$A, "&lt;="&amp;DATE($A17,12,31))</f>
        <v>0</v>
      </c>
      <c r="Q17">
        <f>SUMIFS(Lapse_data!Q:Q,
        Lapse_data!$A:$A, "&gt;="&amp;DATE($A17,1,1),
        Lapse_data!$A:$A, "&lt;="&amp;DATE($A17,12,31))</f>
        <v>0</v>
      </c>
      <c r="R17">
        <f>SUMIFS(Lapse_data!R:R,
        Lapse_data!$A:$A, "&gt;="&amp;DATE($A17,1,1),
        Lapse_data!$A:$A, "&lt;="&amp;DATE($A17,12,31))</f>
        <v>0</v>
      </c>
      <c r="S17">
        <f>SUMIFS(Lapse_data!S:S,
        Lapse_data!$A:$A, "&gt;="&amp;DATE($A17,1,1),
        Lapse_data!$A:$A, "&lt;="&amp;DATE($A17,12,31))</f>
        <v>0</v>
      </c>
      <c r="T17">
        <f>SUMIFS(Lapse_data!T:T,
        Lapse_data!$A:$A, "&gt;="&amp;DATE($A17,1,1),
        Lapse_data!$A:$A, "&lt;="&amp;DATE($A17,12,31))</f>
        <v>0</v>
      </c>
      <c r="U17">
        <f>SUMIFS(Lapse_data!U:U,
        Lapse_data!$A:$A, "&gt;="&amp;DATE($A17,1,1),
        Lapse_data!$A:$A, "&lt;="&amp;DATE($A17,12,31))</f>
        <v>0</v>
      </c>
      <c r="V17">
        <f>SUMIFS(Lapse_data!V:V,
        Lapse_data!$A:$A, "&gt;="&amp;DATE($A17,1,1),
        Lapse_data!$A:$A, "&lt;="&amp;DATE($A17,12,31))</f>
        <v>0</v>
      </c>
      <c r="W17">
        <f>SUMIFS(Lapse_data!W:W,
        Lapse_data!$A:$A, "&gt;="&amp;DATE($A17,1,1),
        Lapse_data!$A:$A, "&lt;="&amp;DATE($A17,12,31))</f>
        <v>0</v>
      </c>
      <c r="X17">
        <f>SUMIFS(Lapse_data!X:X,
        Lapse_data!$A:$A, "&gt;="&amp;DATE($A17,1,1),
        Lapse_data!$A:$A, "&lt;="&amp;DATE($A17,12,31))</f>
        <v>0</v>
      </c>
      <c r="Y17">
        <f>SUMIFS(Lapse_data!Y:Y,
        Lapse_data!$A:$A, "&gt;="&amp;DATE($A17,1,1),
        Lapse_data!$A:$A, "&lt;="&amp;DATE($A17,12,31))</f>
        <v>0</v>
      </c>
      <c r="Z17">
        <f>SUMIFS(Lapse_data!Z:Z,
        Lapse_data!$A:$A, "&gt;="&amp;DATE($A17,1,1),
        Lapse_data!$A:$A, "&lt;="&amp;DATE($A17,12,31))</f>
        <v>0</v>
      </c>
      <c r="AA17">
        <f>SUMIFS(Lapse_data!AA:AA,
        Lapse_data!$A:$A, "&gt;="&amp;DATE($A17,1,1),
        Lapse_data!$A:$A, "&lt;="&amp;DATE($A17,12,31))</f>
        <v>0</v>
      </c>
      <c r="AB17">
        <f>SUMIFS(Lapse_data!AB:AB,
        Lapse_data!$A:$A, "&gt;="&amp;DATE($A17,1,1),
        Lapse_data!$A:$A, "&lt;="&amp;DATE($A17,12,31))</f>
        <v>0</v>
      </c>
      <c r="AC17">
        <f>SUMIFS(Lapse_data!AC:AC,
        Lapse_data!$A:$A, "&gt;="&amp;DATE($A17,1,1),
        Lapse_data!$A:$A, "&lt;="&amp;DATE($A17,12,31))</f>
        <v>0</v>
      </c>
      <c r="AD17">
        <f>SUMIFS(Lapse_data!AD:AD,
        Lapse_data!$A:$A, "&gt;="&amp;DATE($A17,1,1),
        Lapse_data!$A:$A, "&lt;="&amp;DATE($A17,12,31))</f>
        <v>0</v>
      </c>
      <c r="AE17">
        <f>SUMIFS(Lapse_data!AE:AE,
        Lapse_data!$A:$A, "&gt;="&amp;DATE($A17,1,1),
        Lapse_data!$A:$A, "&lt;="&amp;DATE($A17,12,31))</f>
        <v>0</v>
      </c>
      <c r="AF17">
        <f>SUMIFS(Lapse_data!AF:AF,
        Lapse_data!$A:$A, "&gt;="&amp;DATE($A17,1,1),
        Lapse_data!$A:$A, "&lt;="&amp;DATE($A17,12,31))</f>
        <v>0</v>
      </c>
      <c r="AG17">
        <f>SUMIFS(Lapse_data!AG:AG,
        Lapse_data!$A:$A, "&gt;="&amp;DATE($A17,1,1),
        Lapse_data!$A:$A, "&lt;="&amp;DATE($A17,12,31))</f>
        <v>0</v>
      </c>
      <c r="AH17">
        <f>SUMIFS(Lapse_data!AH:AH,
        Lapse_data!$A:$A, "&gt;="&amp;DATE($A17,1,1),
        Lapse_data!$A:$A, "&lt;="&amp;DATE($A17,12,31))</f>
        <v>0</v>
      </c>
      <c r="AI17">
        <f>SUMIFS(Lapse_data!AI:AI,
        Lapse_data!$A:$A, "&gt;="&amp;DATE($A17,1,1),
        Lapse_data!$A:$A, "&lt;="&amp;DATE($A17,12,31))</f>
        <v>0</v>
      </c>
      <c r="AJ17">
        <f>SUMIFS(Lapse_data!AJ:AJ,
        Lapse_data!$A:$A, "&gt;="&amp;DATE($A17,1,1),
        Lapse_data!$A:$A, "&lt;="&amp;DATE($A17,12,31))</f>
        <v>0</v>
      </c>
      <c r="AK17">
        <f>SUMIFS(Lapse_data!AK:AK,
        Lapse_data!$A:$A, "&gt;="&amp;DATE($A17,1,1),
        Lapse_data!$A:$A, "&lt;="&amp;DATE($A17,12,31))</f>
        <v>0</v>
      </c>
      <c r="AL17">
        <f>SUMIFS(Lapse_data!AL:AL,
        Lapse_data!$A:$A, "&gt;="&amp;DATE($A17,1,1),
        Lapse_data!$A:$A, "&lt;="&amp;DATE($A17,12,31))</f>
        <v>0</v>
      </c>
      <c r="AM17">
        <f>SUMIFS(Lapse_data!AM:AM,
        Lapse_data!$A:$A, "&gt;="&amp;DATE($A17,1,1),
        Lapse_data!$A:$A, "&lt;="&amp;DATE($A17,12,31))</f>
        <v>0</v>
      </c>
      <c r="AN17">
        <f>SUMIFS(Lapse_data!AN:AN,
        Lapse_data!$A:$A, "&gt;="&amp;DATE($A17,1,1),
        Lapse_data!$A:$A, "&lt;="&amp;DATE($A17,12,31))</f>
        <v>0</v>
      </c>
      <c r="AO17">
        <f>SUMIFS(Lapse_data!AO:AO,
        Lapse_data!$A:$A, "&gt;="&amp;DATE($A17,1,1),
        Lapse_data!$A:$A, "&lt;="&amp;DATE($A17,12,31))</f>
        <v>0</v>
      </c>
      <c r="AP17">
        <f>SUMIFS(Lapse_data!AP:AP,
        Lapse_data!$A:$A, "&gt;="&amp;DATE($A17,1,1),
        Lapse_data!$A:$A, "&lt;="&amp;DATE($A17,12,31))</f>
        <v>0</v>
      </c>
      <c r="AQ17">
        <f>SUMIFS(Lapse_data!AQ:AQ,
        Lapse_data!$A:$A, "&gt;="&amp;DATE($A17,1,1),
        Lapse_data!$A:$A, "&lt;="&amp;DATE($A17,12,31))</f>
        <v>0</v>
      </c>
      <c r="AR17">
        <f>SUMIFS(Lapse_data!AR:AR,
        Lapse_data!$A:$A, "&gt;="&amp;DATE($A17,1,1),
        Lapse_data!$A:$A, "&lt;="&amp;DATE($A17,12,31))</f>
        <v>0</v>
      </c>
      <c r="AS17">
        <f>SUMIFS(Lapse_data!AS:AS,
        Lapse_data!$A:$A, "&gt;="&amp;DATE($A17,1,1),
        Lapse_data!$A:$A, "&lt;="&amp;DATE($A17,12,31))</f>
        <v>0</v>
      </c>
      <c r="AT17">
        <f>SUMIFS(Lapse_data!AT:AT,
        Lapse_data!$A:$A, "&gt;="&amp;DATE($A17,1,1),
        Lapse_data!$A:$A, "&lt;="&amp;DATE($A17,12,31))</f>
        <v>0</v>
      </c>
      <c r="AU17">
        <f>SUMIFS(Lapse_data!AU:AU,
        Lapse_data!$A:$A, "&gt;="&amp;DATE($A17,1,1),
        Lapse_data!$A:$A, "&lt;="&amp;DATE($A17,12,31))</f>
        <v>0</v>
      </c>
      <c r="AV17">
        <f>SUMIFS(Lapse_data!AV:AV,
        Lapse_data!$A:$A, "&gt;="&amp;DATE($A17,1,1),
        Lapse_data!$A:$A, "&lt;="&amp;DATE($A17,12,31))</f>
        <v>0</v>
      </c>
      <c r="AW17">
        <f>SUMIFS(Lapse_data!AW:AW,
        Lapse_data!$A:$A, "&gt;="&amp;DATE($A17,1,1),
        Lapse_data!$A:$A, "&lt;="&amp;DATE($A17,12,31))</f>
        <v>0</v>
      </c>
      <c r="AX17">
        <f>SUMIFS(Lapse_data!AX:AX,
        Lapse_data!$A:$A, "&gt;="&amp;DATE($A17,1,1),
        Lapse_data!$A:$A, "&lt;="&amp;DATE($A17,12,31))</f>
        <v>0</v>
      </c>
      <c r="AY17">
        <f>SUMIFS(Lapse_data!AY:AY,
        Lapse_data!$A:$A, "&gt;="&amp;DATE($A17,1,1),
        Lapse_data!$A:$A, "&lt;="&amp;DATE($A17,12,31))</f>
        <v>0</v>
      </c>
      <c r="AZ17">
        <f>SUMIFS(Lapse_data!AZ:AZ,
        Lapse_data!$A:$A, "&gt;="&amp;DATE($A17,1,1),
        Lapse_data!$A:$A, "&lt;="&amp;DATE($A17,12,31))</f>
        <v>0</v>
      </c>
      <c r="BA17">
        <f>SUMIFS(Lapse_data!BA:BA,
        Lapse_data!$A:$A, "&gt;="&amp;DATE($A17,1,1),
        Lapse_data!$A:$A, "&lt;="&amp;DATE($A17,12,31))</f>
        <v>0</v>
      </c>
      <c r="BB17">
        <f>SUMIFS(Lapse_data!BB:BB,
        Lapse_data!$A:$A, "&gt;="&amp;DATE($A17,1,1),
        Lapse_data!$A:$A, "&lt;="&amp;DATE($A17,12,31))</f>
        <v>0</v>
      </c>
      <c r="BC17">
        <f>SUMIFS(Lapse_data!BC:BC,
        Lapse_data!$A:$A, "&gt;="&amp;DATE($A17,1,1),
        Lapse_data!$A:$A, "&lt;="&amp;DATE($A17,12,31))</f>
        <v>0</v>
      </c>
      <c r="BD17">
        <f>SUMIFS(Lapse_data!BD:BD,
        Lapse_data!$A:$A, "&gt;="&amp;DATE($A17,1,1),
        Lapse_data!$A:$A, "&lt;="&amp;DATE($A17,12,31))</f>
        <v>0</v>
      </c>
      <c r="BE17">
        <f>SUMIFS(Lapse_data!BE:BE,
        Lapse_data!$A:$A, "&gt;="&amp;DATE($A17,1,1),
        Lapse_data!$A:$A, "&lt;="&amp;DATE($A17,12,31))</f>
        <v>0</v>
      </c>
      <c r="BF17">
        <f>SUMIFS(Lapse_data!BF:BF,
        Lapse_data!$A:$A, "&gt;="&amp;DATE($A17,1,1),
        Lapse_data!$A:$A, "&lt;="&amp;DATE($A17,12,31))</f>
        <v>0</v>
      </c>
      <c r="BG17">
        <f>SUMIFS(Lapse_data!BG:BG,
        Lapse_data!$A:$A, "&gt;="&amp;DATE($A17,1,1),
        Lapse_data!$A:$A, "&lt;="&amp;DATE($A17,12,31))</f>
        <v>0</v>
      </c>
      <c r="BH17">
        <f>SUMIFS(Lapse_data!BH:BH,
        Lapse_data!$A:$A, "&gt;="&amp;DATE($A17,1,1),
        Lapse_data!$A:$A, "&lt;="&amp;DATE($A17,12,31))</f>
        <v>0</v>
      </c>
      <c r="BI17">
        <f>SUMIFS(Lapse_data!BI:BI,
        Lapse_data!$A:$A, "&gt;="&amp;DATE($A17,1,1),
        Lapse_data!$A:$A, "&lt;="&amp;DATE($A17,12,31))</f>
        <v>0</v>
      </c>
      <c r="BJ17">
        <f>SUMIFS(Lapse_data!BJ:BJ,
        Lapse_data!$A:$A, "&gt;="&amp;DATE($A17,1,1),
        Lapse_data!$A:$A, "&lt;="&amp;DATE($A17,12,31))</f>
        <v>0</v>
      </c>
      <c r="BK17">
        <f>SUMIFS(Lapse_data!BK:BK,
        Lapse_data!$A:$A, "&gt;="&amp;DATE($A17,1,1),
        Lapse_data!$A:$A, "&lt;="&amp;DATE($A17,12,31))</f>
        <v>0</v>
      </c>
      <c r="BL17">
        <f>SUMIFS(Lapse_data!BL:BL,
        Lapse_data!$A:$A, "&gt;="&amp;DATE($A17,1,1),
        Lapse_data!$A:$A, "&lt;="&amp;DATE($A17,12,31))</f>
        <v>0</v>
      </c>
      <c r="BM17">
        <f>SUMIFS(Lapse_data!BM:BM,
        Lapse_data!$A:$A, "&gt;="&amp;DATE($A17,1,1),
        Lapse_data!$A:$A, "&lt;="&amp;DATE($A17,12,31))</f>
        <v>0</v>
      </c>
      <c r="BN17">
        <f>SUMIFS(Lapse_data!BN:BN,
        Lapse_data!$A:$A, "&gt;="&amp;DATE($A17,1,1),
        Lapse_data!$A:$A, "&lt;="&amp;DATE($A17,12,31))</f>
        <v>0</v>
      </c>
      <c r="BO17">
        <f>SUMIFS(Lapse_data!BO:BO,
        Lapse_data!$A:$A, "&gt;="&amp;DATE($A17,1,1),
        Lapse_data!$A:$A, "&lt;="&amp;DATE($A17,12,31))</f>
        <v>0</v>
      </c>
      <c r="BP17">
        <f>SUMIFS(Lapse_data!BP:BP,
        Lapse_data!$A:$A, "&gt;="&amp;DATE($A17,1,1),
        Lapse_data!$A:$A, "&lt;="&amp;DATE($A17,12,31))</f>
        <v>0</v>
      </c>
      <c r="BQ17">
        <f>SUMIFS(Lapse_data!BQ:BQ,
        Lapse_data!$A:$A, "&gt;="&amp;DATE($A17,1,1),
        Lapse_data!$A:$A, "&lt;="&amp;DATE($A17,12,31))</f>
        <v>0</v>
      </c>
      <c r="BR17">
        <f>SUMIFS(Lapse_data!BR:BR,
        Lapse_data!$A:$A, "&gt;="&amp;DATE($A17,1,1),
        Lapse_data!$A:$A, "&lt;="&amp;DATE($A17,12,31))</f>
        <v>0</v>
      </c>
      <c r="BS17">
        <f>SUMIFS(Lapse_data!BS:BS,
        Lapse_data!$A:$A, "&gt;="&amp;DATE($A17,1,1),
        Lapse_data!$A:$A, "&lt;="&amp;DATE($A17,12,31))</f>
        <v>0</v>
      </c>
      <c r="BT17">
        <f>SUMIFS(Lapse_data!BT:BT,
        Lapse_data!$A:$A, "&gt;="&amp;DATE($A17,1,1),
        Lapse_data!$A:$A, "&lt;="&amp;DATE($A17,12,31))</f>
        <v>0</v>
      </c>
      <c r="BU17">
        <f>SUMIFS(Lapse_data!BU:BU,
        Lapse_data!$A:$A, "&gt;="&amp;DATE($A17,1,1),
        Lapse_data!$A:$A, "&lt;="&amp;DATE($A17,12,31))</f>
        <v>0</v>
      </c>
      <c r="BV17">
        <f>SUMIFS(Lapse_data!BV:BV,
        Lapse_data!$A:$A, "&gt;="&amp;DATE($A17,1,1),
        Lapse_data!$A:$A, "&lt;="&amp;DATE($A17,12,31))</f>
        <v>0</v>
      </c>
      <c r="BW17">
        <f>SUMIFS(Lapse_data!BW:BW,
        Lapse_data!$A:$A, "&gt;="&amp;DATE($A17,1,1),
        Lapse_data!$A:$A, "&lt;="&amp;DATE($A17,12,31))</f>
        <v>0</v>
      </c>
      <c r="BX17">
        <f>SUMIFS(Lapse_data!BX:BX,
        Lapse_data!$A:$A, "&gt;="&amp;DATE($A17,1,1),
        Lapse_data!$A:$A, "&lt;="&amp;DATE($A17,12,31))</f>
        <v>0</v>
      </c>
      <c r="BY17">
        <f>SUMIFS(Lapse_data!BY:BY,
        Lapse_data!$A:$A, "&gt;="&amp;DATE($A17,1,1),
        Lapse_data!$A:$A, "&lt;="&amp;DATE($A17,12,31))</f>
        <v>0</v>
      </c>
      <c r="BZ17">
        <f>SUMIFS(Lapse_data!BZ:BZ,
        Lapse_data!$A:$A, "&gt;="&amp;DATE($A17,1,1),
        Lapse_data!$A:$A, "&lt;="&amp;DATE($A17,12,31))</f>
        <v>0</v>
      </c>
      <c r="CA17">
        <f>SUMIFS(Lapse_data!CA:CA,
        Lapse_data!$A:$A, "&gt;="&amp;DATE($A17,1,1),
        Lapse_data!$A:$A, "&lt;="&amp;DATE($A17,12,31))</f>
        <v>0</v>
      </c>
      <c r="CB17">
        <f>SUMIFS(Lapse_data!CB:CB,
        Lapse_data!$A:$A, "&gt;="&amp;DATE($A17,1,1),
        Lapse_data!$A:$A, "&lt;="&amp;DATE($A17,12,31))</f>
        <v>0</v>
      </c>
      <c r="CC17">
        <f>SUMIFS(Lapse_data!CC:CC,
        Lapse_data!$A:$A, "&gt;="&amp;DATE($A17,1,1),
        Lapse_data!$A:$A, "&lt;="&amp;DATE($A17,12,31))</f>
        <v>0</v>
      </c>
      <c r="CD17">
        <f>SUMIFS(Lapse_data!CD:CD,
        Lapse_data!$A:$A, "&gt;="&amp;DATE($A17,1,1),
        Lapse_data!$A:$A, "&lt;="&amp;DATE($A17,12,31))</f>
        <v>0</v>
      </c>
      <c r="CE17">
        <f>SUMIFS(Lapse_data!CE:CE,
        Lapse_data!$A:$A, "&gt;="&amp;DATE($A17,1,1),
        Lapse_data!$A:$A, "&lt;="&amp;DATE($A17,12,31))</f>
        <v>0</v>
      </c>
      <c r="CF17">
        <f>SUMIFS(Lapse_data!CF:CF,
        Lapse_data!$A:$A, "&gt;="&amp;DATE($A17,1,1),
        Lapse_data!$A:$A, "&lt;="&amp;DATE($A17,12,31))</f>
        <v>0</v>
      </c>
      <c r="CG17">
        <f>SUMIFS(Lapse_data!CG:CG,
        Lapse_data!$A:$A, "&gt;="&amp;DATE($A17,1,1),
        Lapse_data!$A:$A, "&lt;="&amp;DATE($A17,12,31))</f>
        <v>0</v>
      </c>
      <c r="CH17">
        <f>SUMIFS(Lapse_data!CH:CH,
        Lapse_data!$A:$A, "&gt;="&amp;DATE($A17,1,1),
        Lapse_data!$A:$A, "&lt;="&amp;DATE($A17,12,31))</f>
        <v>0</v>
      </c>
      <c r="CI17">
        <f>SUMIFS(Lapse_data!CI:CI,
        Lapse_data!$A:$A, "&gt;="&amp;DATE($A17,1,1),
        Lapse_data!$A:$A, "&lt;="&amp;DATE($A17,12,31))</f>
        <v>0</v>
      </c>
      <c r="CJ17">
        <f>SUMIFS(Lapse_data!CJ:CJ,
        Lapse_data!$A:$A, "&gt;="&amp;DATE($A17,1,1),
        Lapse_data!$A:$A, "&lt;="&amp;DATE($A17,12,31))</f>
        <v>0</v>
      </c>
      <c r="CK17">
        <f>SUMIFS(Lapse_data!CK:CK,
        Lapse_data!$A:$A, "&gt;="&amp;DATE($A17,1,1),
        Lapse_data!$A:$A, "&lt;="&amp;DATE($A17,12,31))</f>
        <v>0</v>
      </c>
      <c r="CL17">
        <f>SUMIFS(Lapse_data!CL:CL,
        Lapse_data!$A:$A, "&gt;="&amp;DATE($A17,1,1),
        Lapse_data!$A:$A, "&lt;="&amp;DATE($A17,12,31))</f>
        <v>0</v>
      </c>
      <c r="CM17">
        <f>SUMIFS(Lapse_data!CM:CM,
        Lapse_data!$A:$A, "&gt;="&amp;DATE($A17,1,1),
        Lapse_data!$A:$A, "&lt;="&amp;DATE($A17,12,31))</f>
        <v>0</v>
      </c>
      <c r="CN17">
        <f>SUMIFS(Lapse_data!CN:CN,
        Lapse_data!$A:$A, "&gt;="&amp;DATE($A17,1,1),
        Lapse_data!$A:$A, "&lt;="&amp;DATE($A17,12,31))</f>
        <v>0</v>
      </c>
      <c r="CO17">
        <f>SUMIFS(Lapse_data!CO:CO,
        Lapse_data!$A:$A, "&gt;="&amp;DATE($A17,1,1),
        Lapse_data!$A:$A, "&lt;="&amp;DATE($A17,12,31))</f>
        <v>0</v>
      </c>
      <c r="CP17">
        <f>SUMIFS(Lapse_data!CP:CP,
        Lapse_data!$A:$A, "&gt;="&amp;DATE($A17,1,1),
        Lapse_data!$A:$A, "&lt;="&amp;DATE($A17,12,31))</f>
        <v>0</v>
      </c>
      <c r="CQ17">
        <f>SUMIFS(Lapse_data!CQ:CQ,
        Lapse_data!$A:$A, "&gt;="&amp;DATE($A17,1,1),
        Lapse_data!$A:$A, "&lt;="&amp;DATE($A17,12,31))</f>
        <v>0</v>
      </c>
      <c r="CR17">
        <f>SUMIFS(Lapse_data!CR:CR,
        Lapse_data!$A:$A, "&gt;="&amp;DATE($A17,1,1),
        Lapse_data!$A:$A, "&lt;="&amp;DATE($A17,12,31))</f>
        <v>0</v>
      </c>
      <c r="CS17">
        <f>SUMIFS(Lapse_data!CS:CS,
        Lapse_data!$A:$A, "&gt;="&amp;DATE($A17,1,1),
        Lapse_data!$A:$A, "&lt;="&amp;DATE($A17,12,31))</f>
        <v>0</v>
      </c>
      <c r="CT17">
        <f>SUMIFS(Lapse_data!CT:CT,
        Lapse_data!$A:$A, "&gt;="&amp;DATE($A17,1,1),
        Lapse_data!$A:$A, "&lt;="&amp;DATE($A17,12,31))</f>
        <v>0</v>
      </c>
      <c r="CU17">
        <f>SUMIFS(Lapse_data!CU:CU,
        Lapse_data!$A:$A, "&gt;="&amp;DATE($A17,1,1),
        Lapse_data!$A:$A, "&lt;="&amp;DATE($A17,12,31))</f>
        <v>0</v>
      </c>
      <c r="CV17">
        <f>SUMIFS(Lapse_data!CV:CV,
        Lapse_data!$A:$A, "&gt;="&amp;DATE($A17,1,1),
        Lapse_data!$A:$A, "&lt;="&amp;DATE($A17,12,31))</f>
        <v>0</v>
      </c>
      <c r="CW17">
        <f>SUMIFS(Lapse_data!CW:CW,
        Lapse_data!$A:$A, "&gt;="&amp;DATE($A17,1,1),
        Lapse_data!$A:$A, "&lt;="&amp;DATE($A17,12,31))</f>
        <v>0</v>
      </c>
      <c r="CX17">
        <f>SUMIFS(Lapse_data!CX:CX,
        Lapse_data!$A:$A, "&gt;="&amp;DATE($A17,1,1),
        Lapse_data!$A:$A, "&lt;="&amp;DATE($A17,12,31))</f>
        <v>0</v>
      </c>
      <c r="CY17">
        <f>SUMIFS(Lapse_data!CY:CY,
        Lapse_data!$A:$A, "&gt;="&amp;DATE($A17,1,1),
        Lapse_data!$A:$A, "&lt;="&amp;DATE($A17,12,31))</f>
        <v>0</v>
      </c>
      <c r="CZ17">
        <f>SUMIFS(Lapse_data!CZ:CZ,
        Lapse_data!$A:$A, "&gt;="&amp;DATE($A17,1,1),
        Lapse_data!$A:$A, "&lt;="&amp;DATE($A17,12,31))</f>
        <v>0</v>
      </c>
      <c r="DA17">
        <f>SUMIFS(Lapse_data!DA:DA,
        Lapse_data!$A:$A, "&gt;="&amp;DATE($A17,1,1),
        Lapse_data!$A:$A, "&lt;="&amp;DATE($A17,12,31))</f>
        <v>0</v>
      </c>
      <c r="DB17">
        <f>SUMIFS(Lapse_data!DB:DB,
        Lapse_data!$A:$A, "&gt;="&amp;DATE($A17,1,1),
        Lapse_data!$A:$A, "&lt;="&amp;DATE($A17,12,31))</f>
        <v>0</v>
      </c>
      <c r="DC17">
        <f>SUMIFS(Lapse_data!DC:DC,
        Lapse_data!$A:$A, "&gt;="&amp;DATE($A17,1,1),
        Lapse_data!$A:$A, "&lt;="&amp;DATE($A17,12,31))</f>
        <v>0</v>
      </c>
      <c r="DD17">
        <f>SUMIFS(Lapse_data!DD:DD,
        Lapse_data!$A:$A, "&gt;="&amp;DATE($A17,1,1),
        Lapse_data!$A:$A, "&lt;="&amp;DATE($A17,12,31))</f>
        <v>0</v>
      </c>
      <c r="DE17">
        <f>SUMIFS(Lapse_data!DE:DE,
        Lapse_data!$A:$A, "&gt;="&amp;DATE($A17,1,1),
        Lapse_data!$A:$A, "&lt;="&amp;DATE($A17,12,31))</f>
        <v>0</v>
      </c>
      <c r="DF17">
        <f>SUMIFS(Lapse_data!DF:DF,
        Lapse_data!$A:$A, "&gt;="&amp;DATE($A17,1,1),
        Lapse_data!$A:$A, "&lt;="&amp;DATE($A17,12,31))</f>
        <v>0</v>
      </c>
      <c r="DG17">
        <f>SUMIFS(Lapse_data!DG:DG,
        Lapse_data!$A:$A, "&gt;="&amp;DATE($A17,1,1),
        Lapse_data!$A:$A, "&lt;="&amp;DATE($A17,12,31))</f>
        <v>0</v>
      </c>
      <c r="DH17">
        <f>SUMIFS(Lapse_data!DH:DH,
        Lapse_data!$A:$A, "&gt;="&amp;DATE($A17,1,1),
        Lapse_data!$A:$A, "&lt;="&amp;DATE($A17,12,31))</f>
        <v>0</v>
      </c>
      <c r="DI17">
        <f>SUMIFS(Lapse_data!DI:DI,
        Lapse_data!$A:$A, "&gt;="&amp;DATE($A17,1,1),
        Lapse_data!$A:$A, "&lt;="&amp;DATE($A17,12,31))</f>
        <v>0</v>
      </c>
      <c r="DJ17">
        <f>SUMIFS(Lapse_data!DJ:DJ,
        Lapse_data!$A:$A, "&gt;="&amp;DATE($A17,1,1),
        Lapse_data!$A:$A, "&lt;="&amp;DATE($A17,12,31))</f>
        <v>0</v>
      </c>
      <c r="DK17">
        <f>SUMIFS(Lapse_data!DK:DK,
        Lapse_data!$A:$A, "&gt;="&amp;DATE($A17,1,1),
        Lapse_data!$A:$A, "&lt;="&amp;DATE($A17,12,31))</f>
        <v>0</v>
      </c>
      <c r="DL17">
        <f>SUMIFS(Lapse_data!DL:DL,
        Lapse_data!$A:$A, "&gt;="&amp;DATE($A17,1,1),
        Lapse_data!$A:$A, "&lt;="&amp;DATE($A17,12,31))</f>
        <v>0</v>
      </c>
      <c r="DM17">
        <f>SUMIFS(Lapse_data!DM:DM,
        Lapse_data!$A:$A, "&gt;="&amp;DATE($A17,1,1),
        Lapse_data!$A:$A, "&lt;="&amp;DATE($A17,12,31))</f>
        <v>0</v>
      </c>
      <c r="DN17">
        <f>SUMIFS(Lapse_data!DN:DN,
        Lapse_data!$A:$A, "&gt;="&amp;DATE($A17,1,1),
        Lapse_data!$A:$A, "&lt;="&amp;DATE($A17,12,31))</f>
        <v>0</v>
      </c>
      <c r="DO17">
        <f>SUMIFS(Lapse_data!DO:DO,
        Lapse_data!$A:$A, "&gt;="&amp;DATE($A17,1,1),
        Lapse_data!$A:$A, "&lt;="&amp;DATE($A17,12,31))</f>
        <v>0</v>
      </c>
      <c r="DP17">
        <f>SUMIFS(Lapse_data!DP:DP,
        Lapse_data!$A:$A, "&gt;="&amp;DATE($A17,1,1),
        Lapse_data!$A:$A, "&lt;="&amp;DATE($A17,12,31))</f>
        <v>0</v>
      </c>
      <c r="DQ17">
        <f>SUMIFS(Lapse_data!DQ:DQ,
        Lapse_data!$A:$A, "&gt;="&amp;DATE($A17,1,1),
        Lapse_data!$A:$A, "&lt;="&amp;DATE($A17,12,31))</f>
        <v>0</v>
      </c>
    </row>
    <row r="19" spans="1:121" x14ac:dyDescent="0.35">
      <c r="A19" s="8" t="s">
        <v>16</v>
      </c>
    </row>
    <row r="20" spans="1:121" x14ac:dyDescent="0.35">
      <c r="A20" s="10" t="s">
        <v>1</v>
      </c>
      <c r="B20" s="10" t="s">
        <v>18</v>
      </c>
      <c r="C20" s="10" t="s">
        <v>19</v>
      </c>
      <c r="D20" s="10" t="s">
        <v>20</v>
      </c>
      <c r="E20" s="10" t="s">
        <v>21</v>
      </c>
      <c r="F20" s="10" t="s">
        <v>22</v>
      </c>
      <c r="G20" s="10" t="s">
        <v>23</v>
      </c>
      <c r="H20" s="10" t="s">
        <v>24</v>
      </c>
      <c r="I20" s="10" t="s">
        <v>25</v>
      </c>
      <c r="J20" s="10" t="s">
        <v>26</v>
      </c>
      <c r="K20" s="10" t="s">
        <v>27</v>
      </c>
      <c r="L20" s="10" t="s">
        <v>28</v>
      </c>
      <c r="M20" s="10" t="s">
        <v>29</v>
      </c>
      <c r="N20" s="10" t="s">
        <v>30</v>
      </c>
      <c r="O20" s="10" t="s">
        <v>31</v>
      </c>
      <c r="P20" s="10" t="s">
        <v>32</v>
      </c>
      <c r="Q20" s="10" t="s">
        <v>33</v>
      </c>
      <c r="R20" s="10" t="s">
        <v>34</v>
      </c>
      <c r="S20" s="10" t="s">
        <v>35</v>
      </c>
      <c r="T20" s="10" t="s">
        <v>36</v>
      </c>
      <c r="U20" s="10" t="s">
        <v>37</v>
      </c>
      <c r="V20" s="11" t="s">
        <v>38</v>
      </c>
    </row>
    <row r="21" spans="1:121" x14ac:dyDescent="0.35">
      <c r="A21" s="10">
        <v>2015</v>
      </c>
      <c r="B21">
        <f>SUMIFS(Lapse_data!B:B,
        Lapse_data!$A:$A, "&gt;="&amp;DATE($A21,1,1),
        Lapse_data!$A:$A, "&lt;="&amp;DATE($A21,12,31))</f>
        <v>596</v>
      </c>
      <c r="C21">
        <f>SUMIFS(Lapse_data!C:C,
        Lapse_data!$A:$A, "&gt;="&amp;DATE($A21,1,1),
        Lapse_data!$A:$A, "&lt;="&amp;DATE($A21,12,31))</f>
        <v>1022</v>
      </c>
      <c r="D21">
        <f>SUMIFS(Lapse_data!D:D,
        Lapse_data!$A:$A, "&gt;="&amp;DATE($A21,1,1),
        Lapse_data!$A:$A, "&lt;="&amp;DATE($A21,12,31))</f>
        <v>632</v>
      </c>
      <c r="E21">
        <f>SUMIFS(Lapse_data!E:E,
        Lapse_data!$A:$A, "&gt;="&amp;DATE($A21,1,1),
        Lapse_data!$A:$A, "&lt;="&amp;DATE($A21,12,31))</f>
        <v>712</v>
      </c>
      <c r="F21">
        <f>SUMIFS(Lapse_data!F:F,
        Lapse_data!$A:$A, "&gt;="&amp;DATE($A21,1,1),
        Lapse_data!$A:$A, "&lt;="&amp;DATE($A21,12,31))</f>
        <v>533</v>
      </c>
      <c r="G21">
        <f>SUMIFS(Lapse_data!G:G,
        Lapse_data!$A:$A, "&gt;="&amp;DATE($A21,1,1),
        Lapse_data!$A:$A, "&lt;="&amp;DATE($A21,12,31))</f>
        <v>478</v>
      </c>
      <c r="H21">
        <f>SUMIFS(Lapse_data!H:H,
        Lapse_data!$A:$A, "&gt;="&amp;DATE($A21,1,1),
        Lapse_data!$A:$A, "&lt;="&amp;DATE($A21,12,31))</f>
        <v>395</v>
      </c>
      <c r="I21">
        <f>SUMIFS(Lapse_data!I:I,
        Lapse_data!$A:$A, "&gt;="&amp;DATE($A21,1,1),
        Lapse_data!$A:$A, "&lt;="&amp;DATE($A21,12,31))</f>
        <v>355</v>
      </c>
      <c r="J21">
        <f>SUMIFS(Lapse_data!J:J,
        Lapse_data!$A:$A, "&gt;="&amp;DATE($A21,1,1),
        Lapse_data!$A:$A, "&lt;="&amp;DATE($A21,12,31))</f>
        <v>336</v>
      </c>
      <c r="K21">
        <f>SUMIFS(Lapse_data!K:K,
        Lapse_data!$A:$A, "&gt;="&amp;DATE($A21,1,1),
        Lapse_data!$A:$A, "&lt;="&amp;DATE($A21,12,31))</f>
        <v>272</v>
      </c>
      <c r="L21">
        <f>SUMIFS(Lapse_data!L:L,
        Lapse_data!$A:$A, "&gt;="&amp;DATE($A21,1,1),
        Lapse_data!$A:$A, "&lt;="&amp;DATE($A21,12,31))</f>
        <v>231</v>
      </c>
      <c r="M21">
        <f>SUMIFS(Lapse_data!M:M,
        Lapse_data!$A:$A, "&gt;="&amp;DATE($A21,1,1),
        Lapse_data!$A:$A, "&lt;="&amp;DATE($A21,12,31))</f>
        <v>238</v>
      </c>
      <c r="N21">
        <f>SUM(N8:Y8)</f>
        <v>1902</v>
      </c>
      <c r="O21">
        <f>SUM(Z8:AK8)</f>
        <v>955</v>
      </c>
      <c r="P21">
        <f>SUM(AL8:AW8)</f>
        <v>637</v>
      </c>
      <c r="Q21">
        <f>SUM(AZ8:BK8)</f>
        <v>387</v>
      </c>
      <c r="R21">
        <f>SUM(BL8:BW8)</f>
        <v>288</v>
      </c>
      <c r="S21">
        <f>SUM(BX8:CI8)</f>
        <v>215</v>
      </c>
      <c r="T21">
        <f>SUM(CJ8:CU8)</f>
        <v>166</v>
      </c>
      <c r="U21">
        <f>SUM(CV8:DG8)</f>
        <v>132</v>
      </c>
      <c r="V21">
        <f>SUM(DH8:DQ8)</f>
        <v>37</v>
      </c>
    </row>
    <row r="22" spans="1:121" x14ac:dyDescent="0.35">
      <c r="A22" s="10">
        <v>2016</v>
      </c>
      <c r="B22">
        <f>SUMIFS(Lapse_data!B:B,
        Lapse_data!$A:$A, "&gt;="&amp;DATE($A22,1,1),
        Lapse_data!$A:$A, "&lt;="&amp;DATE($A22,12,31))</f>
        <v>569</v>
      </c>
      <c r="C22">
        <f>SUMIFS(Lapse_data!C:C,
        Lapse_data!$A:$A, "&gt;="&amp;DATE($A22,1,1),
        Lapse_data!$A:$A, "&lt;="&amp;DATE($A22,12,31))</f>
        <v>890</v>
      </c>
      <c r="D22">
        <f>SUMIFS(Lapse_data!D:D,
        Lapse_data!$A:$A, "&gt;="&amp;DATE($A22,1,1),
        Lapse_data!$A:$A, "&lt;="&amp;DATE($A22,12,31))</f>
        <v>624</v>
      </c>
      <c r="E22">
        <f>SUMIFS(Lapse_data!E:E,
        Lapse_data!$A:$A, "&gt;="&amp;DATE($A22,1,1),
        Lapse_data!$A:$A, "&lt;="&amp;DATE($A22,12,31))</f>
        <v>580</v>
      </c>
      <c r="F22">
        <f>SUMIFS(Lapse_data!F:F,
        Lapse_data!$A:$A, "&gt;="&amp;DATE($A22,1,1),
        Lapse_data!$A:$A, "&lt;="&amp;DATE($A22,12,31))</f>
        <v>418</v>
      </c>
      <c r="G22">
        <f>SUMIFS(Lapse_data!G:G,
        Lapse_data!$A:$A, "&gt;="&amp;DATE($A22,1,1),
        Lapse_data!$A:$A, "&lt;="&amp;DATE($A22,12,31))</f>
        <v>379</v>
      </c>
      <c r="H22">
        <f>SUMIFS(Lapse_data!H:H,
        Lapse_data!$A:$A, "&gt;="&amp;DATE($A22,1,1),
        Lapse_data!$A:$A, "&lt;="&amp;DATE($A22,12,31))</f>
        <v>352</v>
      </c>
      <c r="I22">
        <f>SUMIFS(Lapse_data!I:I,
        Lapse_data!$A:$A, "&gt;="&amp;DATE($A22,1,1),
        Lapse_data!$A:$A, "&lt;="&amp;DATE($A22,12,31))</f>
        <v>268</v>
      </c>
      <c r="J22">
        <f>SUMIFS(Lapse_data!J:J,
        Lapse_data!$A:$A, "&gt;="&amp;DATE($A22,1,1),
        Lapse_data!$A:$A, "&lt;="&amp;DATE($A22,12,31))</f>
        <v>228</v>
      </c>
      <c r="K22">
        <f>SUMIFS(Lapse_data!K:K,
        Lapse_data!$A:$A, "&gt;="&amp;DATE($A22,1,1),
        Lapse_data!$A:$A, "&lt;="&amp;DATE($A22,12,31))</f>
        <v>219</v>
      </c>
      <c r="L22">
        <f>SUMIFS(Lapse_data!L:L,
        Lapse_data!$A:$A, "&gt;="&amp;DATE($A22,1,1),
        Lapse_data!$A:$A, "&lt;="&amp;DATE($A22,12,31))</f>
        <v>214</v>
      </c>
      <c r="M22">
        <f>SUMIFS(Lapse_data!M:M,
        Lapse_data!$A:$A, "&gt;="&amp;DATE($A22,1,1),
        Lapse_data!$A:$A, "&lt;="&amp;DATE($A22,12,31))</f>
        <v>189</v>
      </c>
      <c r="N22">
        <f>SUM(N9:Y9)</f>
        <v>1342</v>
      </c>
      <c r="O22">
        <f t="shared" ref="O22:O30" si="0">SUM(Z9:AK9)</f>
        <v>702</v>
      </c>
      <c r="P22">
        <f t="shared" ref="P22:P30" si="1">SUM(AL9:AW9)</f>
        <v>446</v>
      </c>
      <c r="Q22">
        <f t="shared" ref="Q22:Q30" si="2">SUM(AZ9:BK9)</f>
        <v>284</v>
      </c>
      <c r="R22">
        <f t="shared" ref="R22:R30" si="3">SUM(BL9:BW9)</f>
        <v>236</v>
      </c>
      <c r="S22">
        <f t="shared" ref="S22:S30" si="4">SUM(BX9:CI9)</f>
        <v>149</v>
      </c>
      <c r="T22">
        <f t="shared" ref="T22:T30" si="5">SUM(CJ9:CU9)</f>
        <v>119</v>
      </c>
      <c r="U22">
        <f t="shared" ref="U22:U30" si="6">SUM(CV9:DG9)</f>
        <v>39</v>
      </c>
      <c r="V22">
        <f t="shared" ref="V22:V30" si="7">SUM(DH9:DQ9)</f>
        <v>0</v>
      </c>
    </row>
    <row r="23" spans="1:121" x14ac:dyDescent="0.35">
      <c r="A23" s="10">
        <v>2017</v>
      </c>
      <c r="B23">
        <f>SUMIFS(Lapse_data!B:B,
        Lapse_data!$A:$A, "&gt;="&amp;DATE($A23,1,1),
        Lapse_data!$A:$A, "&lt;="&amp;DATE($A23,12,31))</f>
        <v>822</v>
      </c>
      <c r="C23">
        <f>SUMIFS(Lapse_data!C:C,
        Lapse_data!$A:$A, "&gt;="&amp;DATE($A23,1,1),
        Lapse_data!$A:$A, "&lt;="&amp;DATE($A23,12,31))</f>
        <v>1350</v>
      </c>
      <c r="D23">
        <f>SUMIFS(Lapse_data!D:D,
        Lapse_data!$A:$A, "&gt;="&amp;DATE($A23,1,1),
        Lapse_data!$A:$A, "&lt;="&amp;DATE($A23,12,31))</f>
        <v>1111</v>
      </c>
      <c r="E23">
        <f>SUMIFS(Lapse_data!E:E,
        Lapse_data!$A:$A, "&gt;="&amp;DATE($A23,1,1),
        Lapse_data!$A:$A, "&lt;="&amp;DATE($A23,12,31))</f>
        <v>930</v>
      </c>
      <c r="F23">
        <f>SUMIFS(Lapse_data!F:F,
        Lapse_data!$A:$A, "&gt;="&amp;DATE($A23,1,1),
        Lapse_data!$A:$A, "&lt;="&amp;DATE($A23,12,31))</f>
        <v>585</v>
      </c>
      <c r="G23">
        <f>SUMIFS(Lapse_data!G:G,
        Lapse_data!$A:$A, "&gt;="&amp;DATE($A23,1,1),
        Lapse_data!$A:$A, "&lt;="&amp;DATE($A23,12,31))</f>
        <v>473</v>
      </c>
      <c r="H23">
        <f>SUMIFS(Lapse_data!H:H,
        Lapse_data!$A:$A, "&gt;="&amp;DATE($A23,1,1),
        Lapse_data!$A:$A, "&lt;="&amp;DATE($A23,12,31))</f>
        <v>430</v>
      </c>
      <c r="I23">
        <f>SUMIFS(Lapse_data!I:I,
        Lapse_data!$A:$A, "&gt;="&amp;DATE($A23,1,1),
        Lapse_data!$A:$A, "&lt;="&amp;DATE($A23,12,31))</f>
        <v>364</v>
      </c>
      <c r="J23">
        <f>SUMIFS(Lapse_data!J:J,
        Lapse_data!$A:$A, "&gt;="&amp;DATE($A23,1,1),
        Lapse_data!$A:$A, "&lt;="&amp;DATE($A23,12,31))</f>
        <v>307</v>
      </c>
      <c r="K23">
        <f>SUMIFS(Lapse_data!K:K,
        Lapse_data!$A:$A, "&gt;="&amp;DATE($A23,1,1),
        Lapse_data!$A:$A, "&lt;="&amp;DATE($A23,12,31))</f>
        <v>335</v>
      </c>
      <c r="L23">
        <f>SUMIFS(Lapse_data!L:L,
        Lapse_data!$A:$A, "&gt;="&amp;DATE($A23,1,1),
        Lapse_data!$A:$A, "&lt;="&amp;DATE($A23,12,31))</f>
        <v>322</v>
      </c>
      <c r="M23">
        <f>SUMIFS(Lapse_data!M:M,
        Lapse_data!$A:$A, "&gt;="&amp;DATE($A23,1,1),
        Lapse_data!$A:$A, "&lt;="&amp;DATE($A23,12,31))</f>
        <v>271</v>
      </c>
      <c r="N23">
        <f t="shared" ref="N23:N30" si="8">SUM(N10:Y10)</f>
        <v>1941</v>
      </c>
      <c r="O23">
        <f t="shared" si="0"/>
        <v>887</v>
      </c>
      <c r="P23">
        <f t="shared" si="1"/>
        <v>508</v>
      </c>
      <c r="Q23">
        <f t="shared" si="2"/>
        <v>336</v>
      </c>
      <c r="R23">
        <f t="shared" si="3"/>
        <v>221</v>
      </c>
      <c r="S23">
        <f t="shared" si="4"/>
        <v>158</v>
      </c>
      <c r="T23">
        <f t="shared" si="5"/>
        <v>38</v>
      </c>
      <c r="U23">
        <f t="shared" si="6"/>
        <v>0</v>
      </c>
      <c r="V23">
        <f t="shared" si="7"/>
        <v>0</v>
      </c>
    </row>
    <row r="24" spans="1:121" x14ac:dyDescent="0.35">
      <c r="A24" s="10">
        <v>2018</v>
      </c>
      <c r="B24">
        <f>SUMIFS(Lapse_data!B:B,
        Lapse_data!$A:$A, "&gt;="&amp;DATE($A24,1,1),
        Lapse_data!$A:$A, "&lt;="&amp;DATE($A24,12,31))</f>
        <v>1171</v>
      </c>
      <c r="C24">
        <f>SUMIFS(Lapse_data!C:C,
        Lapse_data!$A:$A, "&gt;="&amp;DATE($A24,1,1),
        Lapse_data!$A:$A, "&lt;="&amp;DATE($A24,12,31))</f>
        <v>2159</v>
      </c>
      <c r="D24">
        <f>SUMIFS(Lapse_data!D:D,
        Lapse_data!$A:$A, "&gt;="&amp;DATE($A24,1,1),
        Lapse_data!$A:$A, "&lt;="&amp;DATE($A24,12,31))</f>
        <v>1530</v>
      </c>
      <c r="E24">
        <f>SUMIFS(Lapse_data!E:E,
        Lapse_data!$A:$A, "&gt;="&amp;DATE($A24,1,1),
        Lapse_data!$A:$A, "&lt;="&amp;DATE($A24,12,31))</f>
        <v>1064</v>
      </c>
      <c r="F24">
        <f>SUMIFS(Lapse_data!F:F,
        Lapse_data!$A:$A, "&gt;="&amp;DATE($A24,1,1),
        Lapse_data!$A:$A, "&lt;="&amp;DATE($A24,12,31))</f>
        <v>690</v>
      </c>
      <c r="G24">
        <f>SUMIFS(Lapse_data!G:G,
        Lapse_data!$A:$A, "&gt;="&amp;DATE($A24,1,1),
        Lapse_data!$A:$A, "&lt;="&amp;DATE($A24,12,31))</f>
        <v>664</v>
      </c>
      <c r="H24">
        <f>SUMIFS(Lapse_data!H:H,
        Lapse_data!$A:$A, "&gt;="&amp;DATE($A24,1,1),
        Lapse_data!$A:$A, "&lt;="&amp;DATE($A24,12,31))</f>
        <v>538</v>
      </c>
      <c r="I24">
        <f>SUMIFS(Lapse_data!I:I,
        Lapse_data!$A:$A, "&gt;="&amp;DATE($A24,1,1),
        Lapse_data!$A:$A, "&lt;="&amp;DATE($A24,12,31))</f>
        <v>504</v>
      </c>
      <c r="J24">
        <f>SUMIFS(Lapse_data!J:J,
        Lapse_data!$A:$A, "&gt;="&amp;DATE($A24,1,1),
        Lapse_data!$A:$A, "&lt;="&amp;DATE($A24,12,31))</f>
        <v>408</v>
      </c>
      <c r="K24">
        <f>SUMIFS(Lapse_data!K:K,
        Lapse_data!$A:$A, "&gt;="&amp;DATE($A24,1,1),
        Lapse_data!$A:$A, "&lt;="&amp;DATE($A24,12,31))</f>
        <v>382</v>
      </c>
      <c r="L24">
        <f>SUMIFS(Lapse_data!L:L,
        Lapse_data!$A:$A, "&gt;="&amp;DATE($A24,1,1),
        Lapse_data!$A:$A, "&lt;="&amp;DATE($A24,12,31))</f>
        <v>349</v>
      </c>
      <c r="M24">
        <f>SUMIFS(Lapse_data!M:M,
        Lapse_data!$A:$A, "&gt;="&amp;DATE($A24,1,1),
        Lapse_data!$A:$A, "&lt;="&amp;DATE($A24,12,31))</f>
        <v>339</v>
      </c>
      <c r="N24">
        <f t="shared" si="8"/>
        <v>2181</v>
      </c>
      <c r="O24">
        <f t="shared" si="0"/>
        <v>893</v>
      </c>
      <c r="P24">
        <f t="shared" si="1"/>
        <v>547</v>
      </c>
      <c r="Q24">
        <f t="shared" si="2"/>
        <v>304</v>
      </c>
      <c r="R24">
        <f t="shared" si="3"/>
        <v>193</v>
      </c>
      <c r="S24">
        <f t="shared" si="4"/>
        <v>54</v>
      </c>
      <c r="T24">
        <f t="shared" si="5"/>
        <v>0</v>
      </c>
      <c r="U24">
        <f t="shared" si="6"/>
        <v>0</v>
      </c>
      <c r="V24">
        <f t="shared" si="7"/>
        <v>0</v>
      </c>
    </row>
    <row r="25" spans="1:121" x14ac:dyDescent="0.35">
      <c r="A25" s="10">
        <v>2019</v>
      </c>
      <c r="B25">
        <f>SUMIFS(Lapse_data!B:B,
        Lapse_data!$A:$A, "&gt;="&amp;DATE($A25,1,1),
        Lapse_data!$A:$A, "&lt;="&amp;DATE($A25,12,31))</f>
        <v>1349</v>
      </c>
      <c r="C25">
        <f>SUMIFS(Lapse_data!C:C,
        Lapse_data!$A:$A, "&gt;="&amp;DATE($A25,1,1),
        Lapse_data!$A:$A, "&lt;="&amp;DATE($A25,12,31))</f>
        <v>1503</v>
      </c>
      <c r="D25">
        <f>SUMIFS(Lapse_data!D:D,
        Lapse_data!$A:$A, "&gt;="&amp;DATE($A25,1,1),
        Lapse_data!$A:$A, "&lt;="&amp;DATE($A25,12,31))</f>
        <v>1397</v>
      </c>
      <c r="E25">
        <f>SUMIFS(Lapse_data!E:E,
        Lapse_data!$A:$A, "&gt;="&amp;DATE($A25,1,1),
        Lapse_data!$A:$A, "&lt;="&amp;DATE($A25,12,31))</f>
        <v>755</v>
      </c>
      <c r="F25">
        <f>SUMIFS(Lapse_data!F:F,
        Lapse_data!$A:$A, "&gt;="&amp;DATE($A25,1,1),
        Lapse_data!$A:$A, "&lt;="&amp;DATE($A25,12,31))</f>
        <v>486</v>
      </c>
      <c r="G25">
        <f>SUMIFS(Lapse_data!G:G,
        Lapse_data!$A:$A, "&gt;="&amp;DATE($A25,1,1),
        Lapse_data!$A:$A, "&lt;="&amp;DATE($A25,12,31))</f>
        <v>485</v>
      </c>
      <c r="H25">
        <f>SUMIFS(Lapse_data!H:H,
        Lapse_data!$A:$A, "&gt;="&amp;DATE($A25,1,1),
        Lapse_data!$A:$A, "&lt;="&amp;DATE($A25,12,31))</f>
        <v>368</v>
      </c>
      <c r="I25">
        <f>SUMIFS(Lapse_data!I:I,
        Lapse_data!$A:$A, "&gt;="&amp;DATE($A25,1,1),
        Lapse_data!$A:$A, "&lt;="&amp;DATE($A25,12,31))</f>
        <v>312</v>
      </c>
      <c r="J25">
        <f>SUMIFS(Lapse_data!J:J,
        Lapse_data!$A:$A, "&gt;="&amp;DATE($A25,1,1),
        Lapse_data!$A:$A, "&lt;="&amp;DATE($A25,12,31))</f>
        <v>278</v>
      </c>
      <c r="K25">
        <f>SUMIFS(Lapse_data!K:K,
        Lapse_data!$A:$A, "&gt;="&amp;DATE($A25,1,1),
        Lapse_data!$A:$A, "&lt;="&amp;DATE($A25,12,31))</f>
        <v>271</v>
      </c>
      <c r="L25">
        <f>SUMIFS(Lapse_data!L:L,
        Lapse_data!$A:$A, "&gt;="&amp;DATE($A25,1,1),
        Lapse_data!$A:$A, "&lt;="&amp;DATE($A25,12,31))</f>
        <v>214</v>
      </c>
      <c r="M25">
        <f>SUMIFS(Lapse_data!M:M,
        Lapse_data!$A:$A, "&gt;="&amp;DATE($A25,1,1),
        Lapse_data!$A:$A, "&lt;="&amp;DATE($A25,12,31))</f>
        <v>242</v>
      </c>
      <c r="N25">
        <f t="shared" si="8"/>
        <v>1470</v>
      </c>
      <c r="O25">
        <f t="shared" si="0"/>
        <v>622</v>
      </c>
      <c r="P25">
        <f t="shared" si="1"/>
        <v>310</v>
      </c>
      <c r="Q25">
        <f t="shared" si="2"/>
        <v>197</v>
      </c>
      <c r="R25">
        <f t="shared" si="3"/>
        <v>34</v>
      </c>
      <c r="S25">
        <f t="shared" si="4"/>
        <v>0</v>
      </c>
      <c r="T25">
        <f t="shared" si="5"/>
        <v>0</v>
      </c>
      <c r="U25">
        <f t="shared" si="6"/>
        <v>0</v>
      </c>
      <c r="V25">
        <f t="shared" si="7"/>
        <v>0</v>
      </c>
    </row>
    <row r="26" spans="1:121" x14ac:dyDescent="0.35">
      <c r="A26" s="10">
        <v>2020</v>
      </c>
      <c r="B26">
        <f>SUMIFS(Lapse_data!B:B,
        Lapse_data!$A:$A, "&gt;="&amp;DATE($A26,1,1),
        Lapse_data!$A:$A, "&lt;="&amp;DATE($A26,12,31))</f>
        <v>712</v>
      </c>
      <c r="C26">
        <f>SUMIFS(Lapse_data!C:C,
        Lapse_data!$A:$A, "&gt;="&amp;DATE($A26,1,1),
        Lapse_data!$A:$A, "&lt;="&amp;DATE($A26,12,31))</f>
        <v>1177</v>
      </c>
      <c r="D26">
        <f>SUMIFS(Lapse_data!D:D,
        Lapse_data!$A:$A, "&gt;="&amp;DATE($A26,1,1),
        Lapse_data!$A:$A, "&lt;="&amp;DATE($A26,12,31))</f>
        <v>833</v>
      </c>
      <c r="E26">
        <f>SUMIFS(Lapse_data!E:E,
        Lapse_data!$A:$A, "&gt;="&amp;DATE($A26,1,1),
        Lapse_data!$A:$A, "&lt;="&amp;DATE($A26,12,31))</f>
        <v>496</v>
      </c>
      <c r="F26">
        <f>SUMIFS(Lapse_data!F:F,
        Lapse_data!$A:$A, "&gt;="&amp;DATE($A26,1,1),
        Lapse_data!$A:$A, "&lt;="&amp;DATE($A26,12,31))</f>
        <v>398</v>
      </c>
      <c r="G26">
        <f>SUMIFS(Lapse_data!G:G,
        Lapse_data!$A:$A, "&gt;="&amp;DATE($A26,1,1),
        Lapse_data!$A:$A, "&lt;="&amp;DATE($A26,12,31))</f>
        <v>431</v>
      </c>
      <c r="H26">
        <f>SUMIFS(Lapse_data!H:H,
        Lapse_data!$A:$A, "&gt;="&amp;DATE($A26,1,1),
        Lapse_data!$A:$A, "&lt;="&amp;DATE($A26,12,31))</f>
        <v>374</v>
      </c>
      <c r="I26">
        <f>SUMIFS(Lapse_data!I:I,
        Lapse_data!$A:$A, "&gt;="&amp;DATE($A26,1,1),
        Lapse_data!$A:$A, "&lt;="&amp;DATE($A26,12,31))</f>
        <v>311</v>
      </c>
      <c r="J26">
        <f>SUMIFS(Lapse_data!J:J,
        Lapse_data!$A:$A, "&gt;="&amp;DATE($A26,1,1),
        Lapse_data!$A:$A, "&lt;="&amp;DATE($A26,12,31))</f>
        <v>255</v>
      </c>
      <c r="K26">
        <f>SUMIFS(Lapse_data!K:K,
        Lapse_data!$A:$A, "&gt;="&amp;DATE($A26,1,1),
        Lapse_data!$A:$A, "&lt;="&amp;DATE($A26,12,31))</f>
        <v>258</v>
      </c>
      <c r="L26">
        <f>SUMIFS(Lapse_data!L:L,
        Lapse_data!$A:$A, "&gt;="&amp;DATE($A26,1,1),
        Lapse_data!$A:$A, "&lt;="&amp;DATE($A26,12,31))</f>
        <v>236</v>
      </c>
      <c r="M26">
        <f>SUMIFS(Lapse_data!M:M,
        Lapse_data!$A:$A, "&gt;="&amp;DATE($A26,1,1),
        Lapse_data!$A:$A, "&lt;="&amp;DATE($A26,12,31))</f>
        <v>187</v>
      </c>
      <c r="N26">
        <f t="shared" si="8"/>
        <v>1164</v>
      </c>
      <c r="O26">
        <f t="shared" si="0"/>
        <v>445</v>
      </c>
      <c r="P26">
        <f t="shared" si="1"/>
        <v>182</v>
      </c>
      <c r="Q26">
        <f t="shared" si="2"/>
        <v>49</v>
      </c>
      <c r="R26">
        <f t="shared" si="3"/>
        <v>0</v>
      </c>
      <c r="S26">
        <f t="shared" si="4"/>
        <v>0</v>
      </c>
      <c r="T26">
        <f t="shared" si="5"/>
        <v>0</v>
      </c>
      <c r="U26">
        <f t="shared" si="6"/>
        <v>0</v>
      </c>
      <c r="V26">
        <f t="shared" si="7"/>
        <v>0</v>
      </c>
    </row>
    <row r="27" spans="1:121" x14ac:dyDescent="0.35">
      <c r="A27" s="10">
        <v>2021</v>
      </c>
      <c r="B27">
        <f>SUMIFS(Lapse_data!B:B,
        Lapse_data!$A:$A, "&gt;="&amp;DATE($A27,1,1),
        Lapse_data!$A:$A, "&lt;="&amp;DATE($A27,12,31))</f>
        <v>249</v>
      </c>
      <c r="C27">
        <f>SUMIFS(Lapse_data!C:C,
        Lapse_data!$A:$A, "&gt;="&amp;DATE($A27,1,1),
        Lapse_data!$A:$A, "&lt;="&amp;DATE($A27,12,31))</f>
        <v>196</v>
      </c>
      <c r="D27">
        <f>SUMIFS(Lapse_data!D:D,
        Lapse_data!$A:$A, "&gt;="&amp;DATE($A27,1,1),
        Lapse_data!$A:$A, "&lt;="&amp;DATE($A27,12,31))</f>
        <v>334</v>
      </c>
      <c r="E27">
        <f>SUMIFS(Lapse_data!E:E,
        Lapse_data!$A:$A, "&gt;="&amp;DATE($A27,1,1),
        Lapse_data!$A:$A, "&lt;="&amp;DATE($A27,12,31))</f>
        <v>123</v>
      </c>
      <c r="F27">
        <f>SUMIFS(Lapse_data!F:F,
        Lapse_data!$A:$A, "&gt;="&amp;DATE($A27,1,1),
        Lapse_data!$A:$A, "&lt;="&amp;DATE($A27,12,31))</f>
        <v>125</v>
      </c>
      <c r="G27">
        <f>SUMIFS(Lapse_data!G:G,
        Lapse_data!$A:$A, "&gt;="&amp;DATE($A27,1,1),
        Lapse_data!$A:$A, "&lt;="&amp;DATE($A27,12,31))</f>
        <v>106</v>
      </c>
      <c r="H27">
        <f>SUMIFS(Lapse_data!H:H,
        Lapse_data!$A:$A, "&gt;="&amp;DATE($A27,1,1),
        Lapse_data!$A:$A, "&lt;="&amp;DATE($A27,12,31))</f>
        <v>88</v>
      </c>
      <c r="I27">
        <f>SUMIFS(Lapse_data!I:I,
        Lapse_data!$A:$A, "&gt;="&amp;DATE($A27,1,1),
        Lapse_data!$A:$A, "&lt;="&amp;DATE($A27,12,31))</f>
        <v>75</v>
      </c>
      <c r="J27">
        <f>SUMIFS(Lapse_data!J:J,
        Lapse_data!$A:$A, "&gt;="&amp;DATE($A27,1,1),
        Lapse_data!$A:$A, "&lt;="&amp;DATE($A27,12,31))</f>
        <v>83</v>
      </c>
      <c r="K27">
        <f>SUMIFS(Lapse_data!K:K,
        Lapse_data!$A:$A, "&gt;="&amp;DATE($A27,1,1),
        Lapse_data!$A:$A, "&lt;="&amp;DATE($A27,12,31))</f>
        <v>59</v>
      </c>
      <c r="L27">
        <f>SUMIFS(Lapse_data!L:L,
        Lapse_data!$A:$A, "&gt;="&amp;DATE($A27,1,1),
        Lapse_data!$A:$A, "&lt;="&amp;DATE($A27,12,31))</f>
        <v>67</v>
      </c>
      <c r="M27">
        <f>SUMIFS(Lapse_data!M:M,
        Lapse_data!$A:$A, "&gt;="&amp;DATE($A27,1,1),
        Lapse_data!$A:$A, "&lt;="&amp;DATE($A27,12,31))</f>
        <v>49</v>
      </c>
      <c r="N27">
        <f t="shared" si="8"/>
        <v>314</v>
      </c>
      <c r="O27">
        <f t="shared" si="0"/>
        <v>123</v>
      </c>
      <c r="P27">
        <f t="shared" si="1"/>
        <v>36</v>
      </c>
      <c r="Q27">
        <f t="shared" si="2"/>
        <v>0</v>
      </c>
      <c r="R27">
        <f t="shared" si="3"/>
        <v>0</v>
      </c>
      <c r="S27">
        <f t="shared" si="4"/>
        <v>0</v>
      </c>
      <c r="T27">
        <f t="shared" si="5"/>
        <v>0</v>
      </c>
      <c r="U27">
        <f t="shared" si="6"/>
        <v>0</v>
      </c>
      <c r="V27">
        <f t="shared" si="7"/>
        <v>0</v>
      </c>
    </row>
    <row r="28" spans="1:121" x14ac:dyDescent="0.35">
      <c r="A28" s="10">
        <v>2022</v>
      </c>
      <c r="B28">
        <f>SUMIFS(Lapse_data!B:B,
        Lapse_data!$A:$A, "&gt;="&amp;DATE($A28,1,1),
        Lapse_data!$A:$A, "&lt;="&amp;DATE($A28,12,31))</f>
        <v>260</v>
      </c>
      <c r="C28">
        <f>SUMIFS(Lapse_data!C:C,
        Lapse_data!$A:$A, "&gt;="&amp;DATE($A28,1,1),
        Lapse_data!$A:$A, "&lt;="&amp;DATE($A28,12,31))</f>
        <v>240</v>
      </c>
      <c r="D28">
        <f>SUMIFS(Lapse_data!D:D,
        Lapse_data!$A:$A, "&gt;="&amp;DATE($A28,1,1),
        Lapse_data!$A:$A, "&lt;="&amp;DATE($A28,12,31))</f>
        <v>210</v>
      </c>
      <c r="E28">
        <f>SUMIFS(Lapse_data!E:E,
        Lapse_data!$A:$A, "&gt;="&amp;DATE($A28,1,1),
        Lapse_data!$A:$A, "&lt;="&amp;DATE($A28,12,31))</f>
        <v>152</v>
      </c>
      <c r="F28">
        <f>SUMIFS(Lapse_data!F:F,
        Lapse_data!$A:$A, "&gt;="&amp;DATE($A28,1,1),
        Lapse_data!$A:$A, "&lt;="&amp;DATE($A28,12,31))</f>
        <v>127</v>
      </c>
      <c r="G28">
        <f>SUMIFS(Lapse_data!G:G,
        Lapse_data!$A:$A, "&gt;="&amp;DATE($A28,1,1),
        Lapse_data!$A:$A, "&lt;="&amp;DATE($A28,12,31))</f>
        <v>102</v>
      </c>
      <c r="H28">
        <f>SUMIFS(Lapse_data!H:H,
        Lapse_data!$A:$A, "&gt;="&amp;DATE($A28,1,1),
        Lapse_data!$A:$A, "&lt;="&amp;DATE($A28,12,31))</f>
        <v>104</v>
      </c>
      <c r="I28">
        <f>SUMIFS(Lapse_data!I:I,
        Lapse_data!$A:$A, "&gt;="&amp;DATE($A28,1,1),
        Lapse_data!$A:$A, "&lt;="&amp;DATE($A28,12,31))</f>
        <v>98</v>
      </c>
      <c r="J28">
        <f>SUMIFS(Lapse_data!J:J,
        Lapse_data!$A:$A, "&gt;="&amp;DATE($A28,1,1),
        Lapse_data!$A:$A, "&lt;="&amp;DATE($A28,12,31))</f>
        <v>85</v>
      </c>
      <c r="K28">
        <f>SUMIFS(Lapse_data!K:K,
        Lapse_data!$A:$A, "&gt;="&amp;DATE($A28,1,1),
        Lapse_data!$A:$A, "&lt;="&amp;DATE($A28,12,31))</f>
        <v>81</v>
      </c>
      <c r="L28">
        <f>SUMIFS(Lapse_data!L:L,
        Lapse_data!$A:$A, "&gt;="&amp;DATE($A28,1,1),
        Lapse_data!$A:$A, "&lt;="&amp;DATE($A28,12,31))</f>
        <v>73</v>
      </c>
      <c r="M28">
        <f>SUMIFS(Lapse_data!M:M,
        Lapse_data!$A:$A, "&gt;="&amp;DATE($A28,1,1),
        Lapse_data!$A:$A, "&lt;="&amp;DATE($A28,12,31))</f>
        <v>82</v>
      </c>
      <c r="N28">
        <f t="shared" si="8"/>
        <v>394</v>
      </c>
      <c r="O28">
        <f t="shared" si="0"/>
        <v>87</v>
      </c>
      <c r="P28">
        <f t="shared" si="1"/>
        <v>0</v>
      </c>
      <c r="Q28">
        <f t="shared" si="2"/>
        <v>0</v>
      </c>
      <c r="R28">
        <f t="shared" si="3"/>
        <v>0</v>
      </c>
      <c r="S28">
        <f t="shared" si="4"/>
        <v>0</v>
      </c>
      <c r="T28">
        <f t="shared" si="5"/>
        <v>0</v>
      </c>
      <c r="U28">
        <f t="shared" si="6"/>
        <v>0</v>
      </c>
      <c r="V28">
        <f t="shared" si="7"/>
        <v>0</v>
      </c>
    </row>
    <row r="29" spans="1:121" x14ac:dyDescent="0.35">
      <c r="A29" s="10">
        <v>2023</v>
      </c>
      <c r="B29">
        <f>SUMIFS(Lapse_data!B:B,
        Lapse_data!$A:$A, "&gt;="&amp;DATE($A29,1,1),
        Lapse_data!$A:$A, "&lt;="&amp;DATE($A29,12,31))</f>
        <v>535</v>
      </c>
      <c r="C29">
        <f>SUMIFS(Lapse_data!C:C,
        Lapse_data!$A:$A, "&gt;="&amp;DATE($A29,1,1),
        Lapse_data!$A:$A, "&lt;="&amp;DATE($A29,12,31))</f>
        <v>380</v>
      </c>
      <c r="D29">
        <f>SUMIFS(Lapse_data!D:D,
        Lapse_data!$A:$A, "&gt;="&amp;DATE($A29,1,1),
        Lapse_data!$A:$A, "&lt;="&amp;DATE($A29,12,31))</f>
        <v>359</v>
      </c>
      <c r="E29">
        <f>SUMIFS(Lapse_data!E:E,
        Lapse_data!$A:$A, "&gt;="&amp;DATE($A29,1,1),
        Lapse_data!$A:$A, "&lt;="&amp;DATE($A29,12,31))</f>
        <v>216</v>
      </c>
      <c r="F29">
        <f>SUMIFS(Lapse_data!F:F,
        Lapse_data!$A:$A, "&gt;="&amp;DATE($A29,1,1),
        Lapse_data!$A:$A, "&lt;="&amp;DATE($A29,12,31))</f>
        <v>152</v>
      </c>
      <c r="G29">
        <f>SUMIFS(Lapse_data!G:G,
        Lapse_data!$A:$A, "&gt;="&amp;DATE($A29,1,1),
        Lapse_data!$A:$A, "&lt;="&amp;DATE($A29,12,31))</f>
        <v>114</v>
      </c>
      <c r="H29">
        <f>SUMIFS(Lapse_data!H:H,
        Lapse_data!$A:$A, "&gt;="&amp;DATE($A29,1,1),
        Lapse_data!$A:$A, "&lt;="&amp;DATE($A29,12,31))</f>
        <v>95</v>
      </c>
      <c r="I29">
        <f>SUMIFS(Lapse_data!I:I,
        Lapse_data!$A:$A, "&gt;="&amp;DATE($A29,1,1),
        Lapse_data!$A:$A, "&lt;="&amp;DATE($A29,12,31))</f>
        <v>79</v>
      </c>
      <c r="J29">
        <f>SUMIFS(Lapse_data!J:J,
        Lapse_data!$A:$A, "&gt;="&amp;DATE($A29,1,1),
        Lapse_data!$A:$A, "&lt;="&amp;DATE($A29,12,31))</f>
        <v>91</v>
      </c>
      <c r="K29">
        <f>SUMIFS(Lapse_data!K:K,
        Lapse_data!$A:$A, "&gt;="&amp;DATE($A29,1,1),
        Lapse_data!$A:$A, "&lt;="&amp;DATE($A29,12,31))</f>
        <v>65</v>
      </c>
      <c r="L29">
        <f>SUMIFS(Lapse_data!L:L,
        Lapse_data!$A:$A, "&gt;="&amp;DATE($A29,1,1),
        Lapse_data!$A:$A, "&lt;="&amp;DATE($A29,12,31))</f>
        <v>68</v>
      </c>
      <c r="M29">
        <f>SUMIFS(Lapse_data!M:M,
        Lapse_data!$A:$A, "&gt;="&amp;DATE($A29,1,1),
        Lapse_data!$A:$A, "&lt;="&amp;DATE($A29,12,31))</f>
        <v>64</v>
      </c>
      <c r="N29">
        <f t="shared" si="8"/>
        <v>217</v>
      </c>
      <c r="O29">
        <f t="shared" si="0"/>
        <v>0</v>
      </c>
      <c r="P29">
        <f t="shared" si="1"/>
        <v>0</v>
      </c>
      <c r="Q29">
        <f t="shared" si="2"/>
        <v>0</v>
      </c>
      <c r="R29">
        <f t="shared" si="3"/>
        <v>0</v>
      </c>
      <c r="S29">
        <f t="shared" si="4"/>
        <v>0</v>
      </c>
      <c r="T29">
        <f t="shared" si="5"/>
        <v>0</v>
      </c>
      <c r="U29">
        <f t="shared" si="6"/>
        <v>0</v>
      </c>
      <c r="V29">
        <f t="shared" si="7"/>
        <v>0</v>
      </c>
    </row>
    <row r="30" spans="1:121" ht="15" thickBot="1" x14ac:dyDescent="0.4">
      <c r="A30" s="12">
        <v>2024</v>
      </c>
      <c r="B30">
        <f>SUMIFS(Lapse_data!B:B,
        Lapse_data!$A:$A, "&gt;="&amp;DATE($A30,1,1),
        Lapse_data!$A:$A, "&lt;="&amp;DATE($A30,12,31))</f>
        <v>208</v>
      </c>
      <c r="C30">
        <f>SUMIFS(Lapse_data!C:C,
        Lapse_data!$A:$A, "&gt;="&amp;DATE($A30,1,1),
        Lapse_data!$A:$A, "&lt;="&amp;DATE($A30,12,31))</f>
        <v>84</v>
      </c>
      <c r="D30">
        <f>SUMIFS(Lapse_data!D:D,
        Lapse_data!$A:$A, "&gt;="&amp;DATE($A30,1,1),
        Lapse_data!$A:$A, "&lt;="&amp;DATE($A30,12,31))</f>
        <v>96</v>
      </c>
      <c r="E30">
        <f>SUMIFS(Lapse_data!E:E,
        Lapse_data!$A:$A, "&gt;="&amp;DATE($A30,1,1),
        Lapse_data!$A:$A, "&lt;="&amp;DATE($A30,12,31))</f>
        <v>53</v>
      </c>
      <c r="F30">
        <f>SUMIFS(Lapse_data!F:F,
        Lapse_data!$A:$A, "&gt;="&amp;DATE($A30,1,1),
        Lapse_data!$A:$A, "&lt;="&amp;DATE($A30,12,31))</f>
        <v>42</v>
      </c>
      <c r="G30">
        <f>SUMIFS(Lapse_data!G:G,
        Lapse_data!$A:$A, "&gt;="&amp;DATE($A30,1,1),
        Lapse_data!$A:$A, "&lt;="&amp;DATE($A30,12,31))</f>
        <v>28</v>
      </c>
      <c r="H30">
        <f>SUMIFS(Lapse_data!H:H,
        Lapse_data!$A:$A, "&gt;="&amp;DATE($A30,1,1),
        Lapse_data!$A:$A, "&lt;="&amp;DATE($A30,12,31))</f>
        <v>19</v>
      </c>
      <c r="I30">
        <f>SUMIFS(Lapse_data!I:I,
        Lapse_data!$A:$A, "&gt;="&amp;DATE($A30,1,1),
        Lapse_data!$A:$A, "&lt;="&amp;DATE($A30,12,31))</f>
        <v>9</v>
      </c>
      <c r="J30">
        <f>SUMIFS(Lapse_data!J:J,
        Lapse_data!$A:$A, "&gt;="&amp;DATE($A30,1,1),
        Lapse_data!$A:$A, "&lt;="&amp;DATE($A30,12,31))</f>
        <v>3</v>
      </c>
      <c r="K30">
        <f>SUMIFS(Lapse_data!K:K,
        Lapse_data!$A:$A, "&gt;="&amp;DATE($A30,1,1),
        Lapse_data!$A:$A, "&lt;="&amp;DATE($A30,12,31))</f>
        <v>4</v>
      </c>
      <c r="L30">
        <f>SUMIFS(Lapse_data!L:L,
        Lapse_data!$A:$A, "&gt;="&amp;DATE($A30,1,1),
        Lapse_data!$A:$A, "&lt;="&amp;DATE($A30,12,31))</f>
        <v>4</v>
      </c>
      <c r="M30">
        <f>SUMIFS(Lapse_data!M:M,
        Lapse_data!$A:$A, "&gt;="&amp;DATE($A30,1,1),
        Lapse_data!$A:$A, "&lt;="&amp;DATE($A30,12,31))</f>
        <v>0</v>
      </c>
      <c r="N30">
        <f t="shared" si="8"/>
        <v>0</v>
      </c>
      <c r="O30">
        <f t="shared" si="0"/>
        <v>0</v>
      </c>
      <c r="P30">
        <f t="shared" si="1"/>
        <v>0</v>
      </c>
      <c r="Q30">
        <f t="shared" si="2"/>
        <v>0</v>
      </c>
      <c r="R30">
        <f t="shared" si="3"/>
        <v>0</v>
      </c>
      <c r="S30">
        <f t="shared" si="4"/>
        <v>0</v>
      </c>
      <c r="T30">
        <f t="shared" si="5"/>
        <v>0</v>
      </c>
      <c r="U30">
        <f t="shared" si="6"/>
        <v>0</v>
      </c>
      <c r="V30">
        <f t="shared" si="7"/>
        <v>0</v>
      </c>
    </row>
    <row r="32" spans="1:121" x14ac:dyDescent="0.35">
      <c r="A32" s="8" t="s">
        <v>17</v>
      </c>
    </row>
    <row r="33" spans="1:23" x14ac:dyDescent="0.35">
      <c r="A33" s="10" t="s">
        <v>1</v>
      </c>
      <c r="B33" s="10" t="s">
        <v>18</v>
      </c>
      <c r="C33" s="10" t="s">
        <v>19</v>
      </c>
      <c r="D33" s="10" t="s">
        <v>20</v>
      </c>
      <c r="E33" s="10" t="s">
        <v>21</v>
      </c>
      <c r="F33" s="10" t="s">
        <v>22</v>
      </c>
      <c r="G33" s="10" t="s">
        <v>23</v>
      </c>
      <c r="H33" s="10" t="s">
        <v>24</v>
      </c>
      <c r="I33" s="10" t="s">
        <v>25</v>
      </c>
      <c r="J33" s="10" t="s">
        <v>26</v>
      </c>
      <c r="K33" s="10" t="s">
        <v>27</v>
      </c>
      <c r="L33" s="10" t="s">
        <v>28</v>
      </c>
      <c r="M33" s="10" t="s">
        <v>29</v>
      </c>
      <c r="N33" s="10" t="s">
        <v>30</v>
      </c>
      <c r="O33" s="10" t="s">
        <v>31</v>
      </c>
      <c r="P33" s="10" t="s">
        <v>32</v>
      </c>
      <c r="Q33" s="10" t="s">
        <v>33</v>
      </c>
      <c r="R33" s="10" t="s">
        <v>34</v>
      </c>
      <c r="S33" s="10" t="s">
        <v>35</v>
      </c>
      <c r="T33" s="10" t="s">
        <v>36</v>
      </c>
      <c r="U33" s="10" t="s">
        <v>37</v>
      </c>
      <c r="V33" s="11" t="s">
        <v>38</v>
      </c>
    </row>
    <row r="34" spans="1:23" x14ac:dyDescent="0.35">
      <c r="A34" s="10">
        <v>2015</v>
      </c>
      <c r="B34">
        <f>SUMIFS(Death_data!B:B,
        Death_data!$A:$A, "&gt;="&amp;DATE($A34,1,1),
        Death_data!$A:$A, "&lt;="&amp;DATE($A34,12,31))</f>
        <v>2</v>
      </c>
      <c r="C34">
        <f>SUMIFS(Death_data!C:C,
        Death_data!$A:$A, "&gt;="&amp;DATE($A34,1,1),
        Death_data!$A:$A, "&lt;="&amp;DATE($A34,12,31))</f>
        <v>1</v>
      </c>
      <c r="D34">
        <f>SUMIFS(Death_data!D:D,
        Death_data!$A:$A, "&gt;="&amp;DATE($A34,1,1),
        Death_data!$A:$A, "&lt;="&amp;DATE($A34,12,31))</f>
        <v>1</v>
      </c>
      <c r="E34">
        <f>SUMIFS(Death_data!E:E,
        Death_data!$A:$A, "&gt;="&amp;DATE($A34,1,1),
        Death_data!$A:$A, "&lt;="&amp;DATE($A34,12,31))</f>
        <v>7</v>
      </c>
      <c r="F34">
        <f>SUMIFS(Death_data!F:F,
        Death_data!$A:$A, "&gt;="&amp;DATE($A34,1,1),
        Death_data!$A:$A, "&lt;="&amp;DATE($A34,12,31))</f>
        <v>1</v>
      </c>
      <c r="G34">
        <f>SUMIFS(Death_data!G:G,
        Death_data!$A:$A, "&gt;="&amp;DATE($A34,1,1),
        Death_data!$A:$A, "&lt;="&amp;DATE($A34,12,31))</f>
        <v>0</v>
      </c>
      <c r="H34">
        <f>SUMIFS(Death_data!H:H,
        Death_data!$A:$A, "&gt;="&amp;DATE($A34,1,1),
        Death_data!$A:$A, "&lt;="&amp;DATE($A34,12,31))</f>
        <v>1</v>
      </c>
      <c r="I34">
        <f>SUMIFS(Death_data!I:I,
        Death_data!$A:$A, "&gt;="&amp;DATE($A34,1,1),
        Death_data!$A:$A, "&lt;="&amp;DATE($A34,12,31))</f>
        <v>2</v>
      </c>
      <c r="J34">
        <f>SUMIFS(Death_data!J:J,
        Death_data!$A:$A, "&gt;="&amp;DATE($A34,1,1),
        Death_data!$A:$A, "&lt;="&amp;DATE($A34,12,31))</f>
        <v>1</v>
      </c>
      <c r="K34">
        <f>SUMIFS(Death_data!K:K,
        Death_data!$A:$A, "&gt;="&amp;DATE($A34,1,1),
        Death_data!$A:$A, "&lt;="&amp;DATE($A34,12,31))</f>
        <v>0</v>
      </c>
      <c r="L34">
        <f>SUMIFS(Death_data!L:L,
        Death_data!$A:$A, "&gt;="&amp;DATE($A34,1,1),
        Death_data!$A:$A, "&lt;="&amp;DATE($A34,12,31))</f>
        <v>0</v>
      </c>
      <c r="M34">
        <f>SUMIFS(Death_data!M:M,
        Death_data!$A:$A, "&gt;="&amp;DATE($A34,1,1),
        Death_data!$A:$A, "&lt;="&amp;DATE($A34,12,31))</f>
        <v>2</v>
      </c>
      <c r="N34">
        <f>SUMIFS(Death_data!N:N, Death_data!$A:$A, "&gt;="&amp;DATE($A34,1,1), Death_data!$A:$A, "&lt;="&amp;DATE($A34,12,31))</f>
        <v>5</v>
      </c>
      <c r="O34">
        <f>SUMIFS(Death_data!O:O, Death_data!$A:$A, "&gt;="&amp;DATE($A34,1,1), Death_data!$A:$A, "&lt;="&amp;DATE($A34,12,31))</f>
        <v>8</v>
      </c>
      <c r="P34">
        <f>SUMIFS(Death_data!P:P, Death_data!$A:$A, "&gt;="&amp;DATE($A34,1,1), Death_data!$A:$A, "&lt;="&amp;DATE($A34,12,31))</f>
        <v>7</v>
      </c>
      <c r="Q34">
        <f>SUMIFS(Death_data!Q:Q, Death_data!$A:$A, "&gt;="&amp;DATE($A34,1,1), Death_data!$A:$A, "&lt;="&amp;DATE($A34,12,31))</f>
        <v>2</v>
      </c>
      <c r="R34">
        <f>SUMIFS(Death_data!R:R, Death_data!$A:$A, "&gt;="&amp;DATE($A34,1,1), Death_data!$A:$A, "&lt;="&amp;DATE($A34,12,31))</f>
        <v>3</v>
      </c>
      <c r="S34">
        <f>SUMIFS(Death_data!S:S, Death_data!$A:$A, "&gt;="&amp;DATE($A34,1,1), Death_data!$A:$A, "&lt;="&amp;DATE($A34,12,31))</f>
        <v>4</v>
      </c>
      <c r="T34">
        <f>SUMIFS(Death_data!T:T, Death_data!$A:$A, "&gt;="&amp;DATE($A34,1,1), Death_data!$A:$A, "&lt;="&amp;DATE($A34,12,31))</f>
        <v>8</v>
      </c>
      <c r="U34">
        <f>SUMIFS(Death_data!U:U, Death_data!$A:$A, "&gt;="&amp;DATE($A34,1,1), Death_data!$A:$A, "&lt;="&amp;DATE($A34,12,31))</f>
        <v>3</v>
      </c>
      <c r="V34">
        <f>SUMIFS(Death_data!V:V, Death_data!$A:$A, "&gt;="&amp;DATE($A34,1,1), Death_data!$A:$A, "&lt;="&amp;DATE($A34,12,31))</f>
        <v>1</v>
      </c>
    </row>
    <row r="35" spans="1:23" x14ac:dyDescent="0.35">
      <c r="A35" s="10">
        <v>2016</v>
      </c>
      <c r="B35">
        <f>SUMIFS(Death_data!B:B,
        Death_data!$A:$A, "&gt;="&amp;DATE($A35,1,1),
        Death_data!$A:$A, "&lt;="&amp;DATE($A35,12,31))</f>
        <v>7</v>
      </c>
      <c r="C35">
        <f>SUMIFS(Death_data!C:C,
        Death_data!$A:$A, "&gt;="&amp;DATE($A35,1,1),
        Death_data!$A:$A, "&lt;="&amp;DATE($A35,12,31))</f>
        <v>2</v>
      </c>
      <c r="D35">
        <f>SUMIFS(Death_data!D:D,
        Death_data!$A:$A, "&gt;="&amp;DATE($A35,1,1),
        Death_data!$A:$A, "&lt;="&amp;DATE($A35,12,31))</f>
        <v>3</v>
      </c>
      <c r="E35">
        <f>SUMIFS(Death_data!E:E,
        Death_data!$A:$A, "&gt;="&amp;DATE($A35,1,1),
        Death_data!$A:$A, "&lt;="&amp;DATE($A35,12,31))</f>
        <v>3</v>
      </c>
      <c r="F35">
        <f>SUMIFS(Death_data!F:F,
        Death_data!$A:$A, "&gt;="&amp;DATE($A35,1,1),
        Death_data!$A:$A, "&lt;="&amp;DATE($A35,12,31))</f>
        <v>2</v>
      </c>
      <c r="G35">
        <f>SUMIFS(Death_data!G:G,
        Death_data!$A:$A, "&gt;="&amp;DATE($A35,1,1),
        Death_data!$A:$A, "&lt;="&amp;DATE($A35,12,31))</f>
        <v>1</v>
      </c>
      <c r="H35">
        <f>SUMIFS(Death_data!H:H,
        Death_data!$A:$A, "&gt;="&amp;DATE($A35,1,1),
        Death_data!$A:$A, "&lt;="&amp;DATE($A35,12,31))</f>
        <v>3</v>
      </c>
      <c r="I35">
        <f>SUMIFS(Death_data!I:I,
        Death_data!$A:$A, "&gt;="&amp;DATE($A35,1,1),
        Death_data!$A:$A, "&lt;="&amp;DATE($A35,12,31))</f>
        <v>3</v>
      </c>
      <c r="J35">
        <f>SUMIFS(Death_data!J:J,
        Death_data!$A:$A, "&gt;="&amp;DATE($A35,1,1),
        Death_data!$A:$A, "&lt;="&amp;DATE($A35,12,31))</f>
        <v>1</v>
      </c>
      <c r="K35">
        <f>SUMIFS(Death_data!K:K,
        Death_data!$A:$A, "&gt;="&amp;DATE($A35,1,1),
        Death_data!$A:$A, "&lt;="&amp;DATE($A35,12,31))</f>
        <v>1</v>
      </c>
      <c r="L35">
        <f>SUMIFS(Death_data!L:L,
        Death_data!$A:$A, "&gt;="&amp;DATE($A35,1,1),
        Death_data!$A:$A, "&lt;="&amp;DATE($A35,12,31))</f>
        <v>1</v>
      </c>
      <c r="M35">
        <f>SUMIFS(Death_data!M:M,
        Death_data!$A:$A, "&gt;="&amp;DATE($A35,1,1),
        Death_data!$A:$A, "&lt;="&amp;DATE($A35,12,31))</f>
        <v>1</v>
      </c>
      <c r="N35">
        <f>SUMIFS(Death_data!N:N, Death_data!$A:$A, "&gt;="&amp;DATE($A35,1,1), Death_data!$A:$A, "&lt;="&amp;DATE($A35,12,31))</f>
        <v>9</v>
      </c>
      <c r="O35">
        <f>SUMIFS(Death_data!O:O, Death_data!$A:$A, "&gt;="&amp;DATE($A35,1,1), Death_data!$A:$A, "&lt;="&amp;DATE($A35,12,31))</f>
        <v>11</v>
      </c>
      <c r="P35">
        <f>SUMIFS(Death_data!P:P, Death_data!$A:$A, "&gt;="&amp;DATE($A35,1,1), Death_data!$A:$A, "&lt;="&amp;DATE($A35,12,31))</f>
        <v>2</v>
      </c>
      <c r="Q35">
        <f>SUMIFS(Death_data!Q:Q, Death_data!$A:$A, "&gt;="&amp;DATE($A35,1,1), Death_data!$A:$A, "&lt;="&amp;DATE($A35,12,31))</f>
        <v>6</v>
      </c>
      <c r="R35">
        <f>SUMIFS(Death_data!R:R, Death_data!$A:$A, "&gt;="&amp;DATE($A35,1,1), Death_data!$A:$A, "&lt;="&amp;DATE($A35,12,31))</f>
        <v>5</v>
      </c>
      <c r="S35">
        <f>SUMIFS(Death_data!S:S, Death_data!$A:$A, "&gt;="&amp;DATE($A35,1,1), Death_data!$A:$A, "&lt;="&amp;DATE($A35,12,31))</f>
        <v>0</v>
      </c>
      <c r="T35">
        <f>SUMIFS(Death_data!T:T, Death_data!$A:$A, "&gt;="&amp;DATE($A35,1,1), Death_data!$A:$A, "&lt;="&amp;DATE($A35,12,31))</f>
        <v>6</v>
      </c>
      <c r="U35">
        <f>SUMIFS(Death_data!U:U, Death_data!$A:$A, "&gt;="&amp;DATE($A35,1,1), Death_data!$A:$A, "&lt;="&amp;DATE($A35,12,31))</f>
        <v>3</v>
      </c>
      <c r="V35">
        <f>SUMIFS(Death_data!V:V, Death_data!$A:$A, "&gt;="&amp;DATE($A35,1,1), Death_data!$A:$A, "&lt;="&amp;DATE($A35,12,31))</f>
        <v>0</v>
      </c>
    </row>
    <row r="36" spans="1:23" x14ac:dyDescent="0.35">
      <c r="A36" s="10">
        <v>2017</v>
      </c>
      <c r="B36">
        <f>SUMIFS(Death_data!B:B,
        Death_data!$A:$A, "&gt;="&amp;DATE($A36,1,1),
        Death_data!$A:$A, "&lt;="&amp;DATE($A36,12,31))</f>
        <v>3</v>
      </c>
      <c r="C36">
        <f>SUMIFS(Death_data!C:C,
        Death_data!$A:$A, "&gt;="&amp;DATE($A36,1,1),
        Death_data!$A:$A, "&lt;="&amp;DATE($A36,12,31))</f>
        <v>4</v>
      </c>
      <c r="D36">
        <f>SUMIFS(Death_data!D:D,
        Death_data!$A:$A, "&gt;="&amp;DATE($A36,1,1),
        Death_data!$A:$A, "&lt;="&amp;DATE($A36,12,31))</f>
        <v>4</v>
      </c>
      <c r="E36">
        <f>SUMIFS(Death_data!E:E,
        Death_data!$A:$A, "&gt;="&amp;DATE($A36,1,1),
        Death_data!$A:$A, "&lt;="&amp;DATE($A36,12,31))</f>
        <v>3</v>
      </c>
      <c r="F36">
        <f>SUMIFS(Death_data!F:F,
        Death_data!$A:$A, "&gt;="&amp;DATE($A36,1,1),
        Death_data!$A:$A, "&lt;="&amp;DATE($A36,12,31))</f>
        <v>3</v>
      </c>
      <c r="G36">
        <f>SUMIFS(Death_data!G:G,
        Death_data!$A:$A, "&gt;="&amp;DATE($A36,1,1),
        Death_data!$A:$A, "&lt;="&amp;DATE($A36,12,31))</f>
        <v>3</v>
      </c>
      <c r="H36">
        <f>SUMIFS(Death_data!H:H,
        Death_data!$A:$A, "&gt;="&amp;DATE($A36,1,1),
        Death_data!$A:$A, "&lt;="&amp;DATE($A36,12,31))</f>
        <v>1</v>
      </c>
      <c r="I36">
        <f>SUMIFS(Death_data!I:I,
        Death_data!$A:$A, "&gt;="&amp;DATE($A36,1,1),
        Death_data!$A:$A, "&lt;="&amp;DATE($A36,12,31))</f>
        <v>2</v>
      </c>
      <c r="J36">
        <f>SUMIFS(Death_data!J:J,
        Death_data!$A:$A, "&gt;="&amp;DATE($A36,1,1),
        Death_data!$A:$A, "&lt;="&amp;DATE($A36,12,31))</f>
        <v>1</v>
      </c>
      <c r="K36">
        <f>SUMIFS(Death_data!K:K,
        Death_data!$A:$A, "&gt;="&amp;DATE($A36,1,1),
        Death_data!$A:$A, "&lt;="&amp;DATE($A36,12,31))</f>
        <v>1</v>
      </c>
      <c r="L36">
        <f>SUMIFS(Death_data!L:L,
        Death_data!$A:$A, "&gt;="&amp;DATE($A36,1,1),
        Death_data!$A:$A, "&lt;="&amp;DATE($A36,12,31))</f>
        <v>1</v>
      </c>
      <c r="M36">
        <f>SUMIFS(Death_data!M:M,
        Death_data!$A:$A, "&gt;="&amp;DATE($A36,1,1),
        Death_data!$A:$A, "&lt;="&amp;DATE($A36,12,31))</f>
        <v>1</v>
      </c>
      <c r="N36">
        <f>SUMIFS(Death_data!N:N, Death_data!$A:$A, "&gt;="&amp;DATE($A36,1,1), Death_data!$A:$A, "&lt;="&amp;DATE($A36,12,31))</f>
        <v>27</v>
      </c>
      <c r="O36">
        <f>SUMIFS(Death_data!O:O, Death_data!$A:$A, "&gt;="&amp;DATE($A36,1,1), Death_data!$A:$A, "&lt;="&amp;DATE($A36,12,31))</f>
        <v>24</v>
      </c>
      <c r="P36">
        <f>SUMIFS(Death_data!P:P, Death_data!$A:$A, "&gt;="&amp;DATE($A36,1,1), Death_data!$A:$A, "&lt;="&amp;DATE($A36,12,31))</f>
        <v>9</v>
      </c>
      <c r="Q36">
        <f>SUMIFS(Death_data!Q:Q, Death_data!$A:$A, "&gt;="&amp;DATE($A36,1,1), Death_data!$A:$A, "&lt;="&amp;DATE($A36,12,31))</f>
        <v>9</v>
      </c>
      <c r="R36">
        <f>SUMIFS(Death_data!R:R, Death_data!$A:$A, "&gt;="&amp;DATE($A36,1,1), Death_data!$A:$A, "&lt;="&amp;DATE($A36,12,31))</f>
        <v>9</v>
      </c>
      <c r="S36">
        <f>SUMIFS(Death_data!S:S, Death_data!$A:$A, "&gt;="&amp;DATE($A36,1,1), Death_data!$A:$A, "&lt;="&amp;DATE($A36,12,31))</f>
        <v>10</v>
      </c>
      <c r="T36">
        <f>SUMIFS(Death_data!T:T, Death_data!$A:$A, "&gt;="&amp;DATE($A36,1,1), Death_data!$A:$A, "&lt;="&amp;DATE($A36,12,31))</f>
        <v>8</v>
      </c>
      <c r="U36">
        <f>SUMIFS(Death_data!U:U, Death_data!$A:$A, "&gt;="&amp;DATE($A36,1,1), Death_data!$A:$A, "&lt;="&amp;DATE($A36,12,31))</f>
        <v>0</v>
      </c>
      <c r="V36">
        <f>SUMIFS(Death_data!V:V, Death_data!$A:$A, "&gt;="&amp;DATE($A36,1,1), Death_data!$A:$A, "&lt;="&amp;DATE($A36,12,31))</f>
        <v>0</v>
      </c>
    </row>
    <row r="37" spans="1:23" x14ac:dyDescent="0.35">
      <c r="A37" s="10">
        <v>2018</v>
      </c>
      <c r="B37">
        <f>SUMIFS(Death_data!B:B,
        Death_data!$A:$A, "&gt;="&amp;DATE($A37,1,1),
        Death_data!$A:$A, "&lt;="&amp;DATE($A37,12,31))</f>
        <v>6</v>
      </c>
      <c r="C37">
        <f>SUMIFS(Death_data!C:C,
        Death_data!$A:$A, "&gt;="&amp;DATE($A37,1,1),
        Death_data!$A:$A, "&lt;="&amp;DATE($A37,12,31))</f>
        <v>0</v>
      </c>
      <c r="D37">
        <f>SUMIFS(Death_data!D:D,
        Death_data!$A:$A, "&gt;="&amp;DATE($A37,1,1),
        Death_data!$A:$A, "&lt;="&amp;DATE($A37,12,31))</f>
        <v>10</v>
      </c>
      <c r="E37">
        <f>SUMIFS(Death_data!E:E,
        Death_data!$A:$A, "&gt;="&amp;DATE($A37,1,1),
        Death_data!$A:$A, "&lt;="&amp;DATE($A37,12,31))</f>
        <v>13</v>
      </c>
      <c r="F37">
        <f>SUMIFS(Death_data!F:F,
        Death_data!$A:$A, "&gt;="&amp;DATE($A37,1,1),
        Death_data!$A:$A, "&lt;="&amp;DATE($A37,12,31))</f>
        <v>13</v>
      </c>
      <c r="G37">
        <f>SUMIFS(Death_data!G:G,
        Death_data!$A:$A, "&gt;="&amp;DATE($A37,1,1),
        Death_data!$A:$A, "&lt;="&amp;DATE($A37,12,31))</f>
        <v>7</v>
      </c>
      <c r="H37">
        <f>SUMIFS(Death_data!H:H,
        Death_data!$A:$A, "&gt;="&amp;DATE($A37,1,1),
        Death_data!$A:$A, "&lt;="&amp;DATE($A37,12,31))</f>
        <v>8</v>
      </c>
      <c r="I37">
        <f>SUMIFS(Death_data!I:I,
        Death_data!$A:$A, "&gt;="&amp;DATE($A37,1,1),
        Death_data!$A:$A, "&lt;="&amp;DATE($A37,12,31))</f>
        <v>4</v>
      </c>
      <c r="J37">
        <f>SUMIFS(Death_data!J:J,
        Death_data!$A:$A, "&gt;="&amp;DATE($A37,1,1),
        Death_data!$A:$A, "&lt;="&amp;DATE($A37,12,31))</f>
        <v>9</v>
      </c>
      <c r="K37">
        <f>SUMIFS(Death_data!K:K,
        Death_data!$A:$A, "&gt;="&amp;DATE($A37,1,1),
        Death_data!$A:$A, "&lt;="&amp;DATE($A37,12,31))</f>
        <v>3</v>
      </c>
      <c r="L37">
        <f>SUMIFS(Death_data!L:L,
        Death_data!$A:$A, "&gt;="&amp;DATE($A37,1,1),
        Death_data!$A:$A, "&lt;="&amp;DATE($A37,12,31))</f>
        <v>4</v>
      </c>
      <c r="M37">
        <f>SUMIFS(Death_data!M:M,
        Death_data!$A:$A, "&gt;="&amp;DATE($A37,1,1),
        Death_data!$A:$A, "&lt;="&amp;DATE($A37,12,31))</f>
        <v>5</v>
      </c>
      <c r="N37">
        <f>SUMIFS(Death_data!N:N, Death_data!$A:$A, "&gt;="&amp;DATE($A37,1,1), Death_data!$A:$A, "&lt;="&amp;DATE($A37,12,31))</f>
        <v>59</v>
      </c>
      <c r="O37">
        <f>SUMIFS(Death_data!O:O, Death_data!$A:$A, "&gt;="&amp;DATE($A37,1,1), Death_data!$A:$A, "&lt;="&amp;DATE($A37,12,31))</f>
        <v>40</v>
      </c>
      <c r="P37">
        <f>SUMIFS(Death_data!P:P, Death_data!$A:$A, "&gt;="&amp;DATE($A37,1,1), Death_data!$A:$A, "&lt;="&amp;DATE($A37,12,31))</f>
        <v>42</v>
      </c>
      <c r="Q37">
        <f>SUMIFS(Death_data!Q:Q, Death_data!$A:$A, "&gt;="&amp;DATE($A37,1,1), Death_data!$A:$A, "&lt;="&amp;DATE($A37,12,31))</f>
        <v>20</v>
      </c>
      <c r="R37">
        <f>SUMIFS(Death_data!R:R, Death_data!$A:$A, "&gt;="&amp;DATE($A37,1,1), Death_data!$A:$A, "&lt;="&amp;DATE($A37,12,31))</f>
        <v>19</v>
      </c>
      <c r="S37">
        <f>SUMIFS(Death_data!S:S, Death_data!$A:$A, "&gt;="&amp;DATE($A37,1,1), Death_data!$A:$A, "&lt;="&amp;DATE($A37,12,31))</f>
        <v>13</v>
      </c>
      <c r="T37">
        <f>SUMIFS(Death_data!T:T, Death_data!$A:$A, "&gt;="&amp;DATE($A37,1,1), Death_data!$A:$A, "&lt;="&amp;DATE($A37,12,31))</f>
        <v>0</v>
      </c>
      <c r="U37">
        <f>SUMIFS(Death_data!U:U, Death_data!$A:$A, "&gt;="&amp;DATE($A37,1,1), Death_data!$A:$A, "&lt;="&amp;DATE($A37,12,31))</f>
        <v>0</v>
      </c>
      <c r="V37">
        <f>SUMIFS(Death_data!V:V, Death_data!$A:$A, "&gt;="&amp;DATE($A37,1,1), Death_data!$A:$A, "&lt;="&amp;DATE($A37,12,31))</f>
        <v>0</v>
      </c>
    </row>
    <row r="38" spans="1:23" x14ac:dyDescent="0.35">
      <c r="A38" s="10">
        <v>2019</v>
      </c>
      <c r="B38">
        <f>SUMIFS(Death_data!B:B,
        Death_data!$A:$A, "&gt;="&amp;DATE($A38,1,1),
        Death_data!$A:$A, "&lt;="&amp;DATE($A38,12,31))</f>
        <v>13</v>
      </c>
      <c r="C38">
        <f>SUMIFS(Death_data!C:C,
        Death_data!$A:$A, "&gt;="&amp;DATE($A38,1,1),
        Death_data!$A:$A, "&lt;="&amp;DATE($A38,12,31))</f>
        <v>7</v>
      </c>
      <c r="D38">
        <f>SUMIFS(Death_data!D:D,
        Death_data!$A:$A, "&gt;="&amp;DATE($A38,1,1),
        Death_data!$A:$A, "&lt;="&amp;DATE($A38,12,31))</f>
        <v>9</v>
      </c>
      <c r="E38">
        <f>SUMIFS(Death_data!E:E,
        Death_data!$A:$A, "&gt;="&amp;DATE($A38,1,1),
        Death_data!$A:$A, "&lt;="&amp;DATE($A38,12,31))</f>
        <v>11</v>
      </c>
      <c r="F38">
        <f>SUMIFS(Death_data!F:F,
        Death_data!$A:$A, "&gt;="&amp;DATE($A38,1,1),
        Death_data!$A:$A, "&lt;="&amp;DATE($A38,12,31))</f>
        <v>8</v>
      </c>
      <c r="G38">
        <f>SUMIFS(Death_data!G:G,
        Death_data!$A:$A, "&gt;="&amp;DATE($A38,1,1),
        Death_data!$A:$A, "&lt;="&amp;DATE($A38,12,31))</f>
        <v>10</v>
      </c>
      <c r="H38">
        <f>SUMIFS(Death_data!H:H,
        Death_data!$A:$A, "&gt;="&amp;DATE($A38,1,1),
        Death_data!$A:$A, "&lt;="&amp;DATE($A38,12,31))</f>
        <v>17</v>
      </c>
      <c r="I38">
        <f>SUMIFS(Death_data!I:I,
        Death_data!$A:$A, "&gt;="&amp;DATE($A38,1,1),
        Death_data!$A:$A, "&lt;="&amp;DATE($A38,12,31))</f>
        <v>7</v>
      </c>
      <c r="J38">
        <f>SUMIFS(Death_data!J:J,
        Death_data!$A:$A, "&gt;="&amp;DATE($A38,1,1),
        Death_data!$A:$A, "&lt;="&amp;DATE($A38,12,31))</f>
        <v>13</v>
      </c>
      <c r="K38">
        <f>SUMIFS(Death_data!K:K,
        Death_data!$A:$A, "&gt;="&amp;DATE($A38,1,1),
        Death_data!$A:$A, "&lt;="&amp;DATE($A38,12,31))</f>
        <v>10</v>
      </c>
      <c r="L38">
        <f>SUMIFS(Death_data!L:L,
        Death_data!$A:$A, "&gt;="&amp;DATE($A38,1,1),
        Death_data!$A:$A, "&lt;="&amp;DATE($A38,12,31))</f>
        <v>8</v>
      </c>
      <c r="M38">
        <f>SUMIFS(Death_data!M:M,
        Death_data!$A:$A, "&gt;="&amp;DATE($A38,1,1),
        Death_data!$A:$A, "&lt;="&amp;DATE($A38,12,31))</f>
        <v>11</v>
      </c>
      <c r="N38">
        <f>SUMIFS(Death_data!N:N, Death_data!$A:$A, "&gt;="&amp;DATE($A38,1,1), Death_data!$A:$A, "&lt;="&amp;DATE($A38,12,31))</f>
        <v>76</v>
      </c>
      <c r="O38">
        <f>SUMIFS(Death_data!O:O, Death_data!$A:$A, "&gt;="&amp;DATE($A38,1,1), Death_data!$A:$A, "&lt;="&amp;DATE($A38,12,31))</f>
        <v>73</v>
      </c>
      <c r="P38">
        <f>SUMIFS(Death_data!P:P, Death_data!$A:$A, "&gt;="&amp;DATE($A38,1,1), Death_data!$A:$A, "&lt;="&amp;DATE($A38,12,31))</f>
        <v>47</v>
      </c>
      <c r="Q38">
        <f>SUMIFS(Death_data!Q:Q, Death_data!$A:$A, "&gt;="&amp;DATE($A38,1,1), Death_data!$A:$A, "&lt;="&amp;DATE($A38,12,31))</f>
        <v>37</v>
      </c>
      <c r="R38">
        <f>SUMIFS(Death_data!R:R, Death_data!$A:$A, "&gt;="&amp;DATE($A38,1,1), Death_data!$A:$A, "&lt;="&amp;DATE($A38,12,31))</f>
        <v>10</v>
      </c>
      <c r="S38">
        <f>SUMIFS(Death_data!S:S, Death_data!$A:$A, "&gt;="&amp;DATE($A38,1,1), Death_data!$A:$A, "&lt;="&amp;DATE($A38,12,31))</f>
        <v>0</v>
      </c>
      <c r="T38">
        <f>SUMIFS(Death_data!T:T, Death_data!$A:$A, "&gt;="&amp;DATE($A38,1,1), Death_data!$A:$A, "&lt;="&amp;DATE($A38,12,31))</f>
        <v>0</v>
      </c>
      <c r="U38">
        <f>SUMIFS(Death_data!U:U, Death_data!$A:$A, "&gt;="&amp;DATE($A38,1,1), Death_data!$A:$A, "&lt;="&amp;DATE($A38,12,31))</f>
        <v>0</v>
      </c>
      <c r="V38">
        <f>SUMIFS(Death_data!V:V, Death_data!$A:$A, "&gt;="&amp;DATE($A38,1,1), Death_data!$A:$A, "&lt;="&amp;DATE($A38,12,31))</f>
        <v>0</v>
      </c>
    </row>
    <row r="39" spans="1:23" x14ac:dyDescent="0.35">
      <c r="A39" s="10">
        <v>2020</v>
      </c>
      <c r="B39">
        <f>SUMIFS(Death_data!B:B,
        Death_data!$A:$A, "&gt;="&amp;DATE($A39,1,1),
        Death_data!$A:$A, "&lt;="&amp;DATE($A39,12,31))</f>
        <v>5</v>
      </c>
      <c r="C39">
        <f>SUMIFS(Death_data!C:C,
        Death_data!$A:$A, "&gt;="&amp;DATE($A39,1,1),
        Death_data!$A:$A, "&lt;="&amp;DATE($A39,12,31))</f>
        <v>6</v>
      </c>
      <c r="D39">
        <f>SUMIFS(Death_data!D:D,
        Death_data!$A:$A, "&gt;="&amp;DATE($A39,1,1),
        Death_data!$A:$A, "&lt;="&amp;DATE($A39,12,31))</f>
        <v>8</v>
      </c>
      <c r="E39">
        <f>SUMIFS(Death_data!E:E,
        Death_data!$A:$A, "&gt;="&amp;DATE($A39,1,1),
        Death_data!$A:$A, "&lt;="&amp;DATE($A39,12,31))</f>
        <v>6</v>
      </c>
      <c r="F39">
        <f>SUMIFS(Death_data!F:F,
        Death_data!$A:$A, "&gt;="&amp;DATE($A39,1,1),
        Death_data!$A:$A, "&lt;="&amp;DATE($A39,12,31))</f>
        <v>4</v>
      </c>
      <c r="G39">
        <f>SUMIFS(Death_data!G:G,
        Death_data!$A:$A, "&gt;="&amp;DATE($A39,1,1),
        Death_data!$A:$A, "&lt;="&amp;DATE($A39,12,31))</f>
        <v>8</v>
      </c>
      <c r="H39">
        <f>SUMIFS(Death_data!H:H,
        Death_data!$A:$A, "&gt;="&amp;DATE($A39,1,1),
        Death_data!$A:$A, "&lt;="&amp;DATE($A39,12,31))</f>
        <v>7</v>
      </c>
      <c r="I39">
        <f>SUMIFS(Death_data!I:I,
        Death_data!$A:$A, "&gt;="&amp;DATE($A39,1,1),
        Death_data!$A:$A, "&lt;="&amp;DATE($A39,12,31))</f>
        <v>6</v>
      </c>
      <c r="J39">
        <f>SUMIFS(Death_data!J:J,
        Death_data!$A:$A, "&gt;="&amp;DATE($A39,1,1),
        Death_data!$A:$A, "&lt;="&amp;DATE($A39,12,31))</f>
        <v>5</v>
      </c>
      <c r="K39">
        <f>SUMIFS(Death_data!K:K,
        Death_data!$A:$A, "&gt;="&amp;DATE($A39,1,1),
        Death_data!$A:$A, "&lt;="&amp;DATE($A39,12,31))</f>
        <v>9</v>
      </c>
      <c r="L39">
        <f>SUMIFS(Death_data!L:L,
        Death_data!$A:$A, "&gt;="&amp;DATE($A39,1,1),
        Death_data!$A:$A, "&lt;="&amp;DATE($A39,12,31))</f>
        <v>5</v>
      </c>
      <c r="M39">
        <f>SUMIFS(Death_data!M:M,
        Death_data!$A:$A, "&gt;="&amp;DATE($A39,1,1),
        Death_data!$A:$A, "&lt;="&amp;DATE($A39,12,31))</f>
        <v>6</v>
      </c>
      <c r="N39">
        <f>SUMIFS(Death_data!N:N, Death_data!$A:$A, "&gt;="&amp;DATE($A39,1,1), Death_data!$A:$A, "&lt;="&amp;DATE($A39,12,31))</f>
        <v>61</v>
      </c>
      <c r="O39">
        <f>SUMIFS(Death_data!O:O, Death_data!$A:$A, "&gt;="&amp;DATE($A39,1,1), Death_data!$A:$A, "&lt;="&amp;DATE($A39,12,31))</f>
        <v>41</v>
      </c>
      <c r="P39">
        <f>SUMIFS(Death_data!P:P, Death_data!$A:$A, "&gt;="&amp;DATE($A39,1,1), Death_data!$A:$A, "&lt;="&amp;DATE($A39,12,31))</f>
        <v>39</v>
      </c>
      <c r="Q39">
        <f>SUMIFS(Death_data!Q:Q, Death_data!$A:$A, "&gt;="&amp;DATE($A39,1,1), Death_data!$A:$A, "&lt;="&amp;DATE($A39,12,31))</f>
        <v>15</v>
      </c>
      <c r="R39">
        <f>SUMIFS(Death_data!R:R, Death_data!$A:$A, "&gt;="&amp;DATE($A39,1,1), Death_data!$A:$A, "&lt;="&amp;DATE($A39,12,31))</f>
        <v>0</v>
      </c>
      <c r="S39">
        <f>SUMIFS(Death_data!S:S, Death_data!$A:$A, "&gt;="&amp;DATE($A39,1,1), Death_data!$A:$A, "&lt;="&amp;DATE($A39,12,31))</f>
        <v>0</v>
      </c>
      <c r="T39">
        <f>SUMIFS(Death_data!T:T, Death_data!$A:$A, "&gt;="&amp;DATE($A39,1,1), Death_data!$A:$A, "&lt;="&amp;DATE($A39,12,31))</f>
        <v>0</v>
      </c>
      <c r="U39">
        <f>SUMIFS(Death_data!U:U, Death_data!$A:$A, "&gt;="&amp;DATE($A39,1,1), Death_data!$A:$A, "&lt;="&amp;DATE($A39,12,31))</f>
        <v>0</v>
      </c>
      <c r="V39">
        <f>SUMIFS(Death_data!V:V, Death_data!$A:$A, "&gt;="&amp;DATE($A39,1,1), Death_data!$A:$A, "&lt;="&amp;DATE($A39,12,31))</f>
        <v>0</v>
      </c>
    </row>
    <row r="40" spans="1:23" x14ac:dyDescent="0.35">
      <c r="A40" s="10">
        <v>2021</v>
      </c>
      <c r="B40">
        <f>SUMIFS(Death_data!B:B,
        Death_data!$A:$A, "&gt;="&amp;DATE($A40,1,1),
        Death_data!$A:$A, "&lt;="&amp;DATE($A40,12,31))</f>
        <v>9</v>
      </c>
      <c r="C40">
        <f>SUMIFS(Death_data!C:C,
        Death_data!$A:$A, "&gt;="&amp;DATE($A40,1,1),
        Death_data!$A:$A, "&lt;="&amp;DATE($A40,12,31))</f>
        <v>4</v>
      </c>
      <c r="D40">
        <f>SUMIFS(Death_data!D:D,
        Death_data!$A:$A, "&gt;="&amp;DATE($A40,1,1),
        Death_data!$A:$A, "&lt;="&amp;DATE($A40,12,31))</f>
        <v>9</v>
      </c>
      <c r="E40">
        <f>SUMIFS(Death_data!E:E,
        Death_data!$A:$A, "&gt;="&amp;DATE($A40,1,1),
        Death_data!$A:$A, "&lt;="&amp;DATE($A40,12,31))</f>
        <v>10</v>
      </c>
      <c r="F40">
        <f>SUMIFS(Death_data!F:F,
        Death_data!$A:$A, "&gt;="&amp;DATE($A40,1,1),
        Death_data!$A:$A, "&lt;="&amp;DATE($A40,12,31))</f>
        <v>7</v>
      </c>
      <c r="G40">
        <f>SUMIFS(Death_data!G:G,
        Death_data!$A:$A, "&gt;="&amp;DATE($A40,1,1),
        Death_data!$A:$A, "&lt;="&amp;DATE($A40,12,31))</f>
        <v>7</v>
      </c>
      <c r="H40">
        <f>SUMIFS(Death_data!H:H,
        Death_data!$A:$A, "&gt;="&amp;DATE($A40,1,1),
        Death_data!$A:$A, "&lt;="&amp;DATE($A40,12,31))</f>
        <v>6</v>
      </c>
      <c r="I40">
        <f>SUMIFS(Death_data!I:I,
        Death_data!$A:$A, "&gt;="&amp;DATE($A40,1,1),
        Death_data!$A:$A, "&lt;="&amp;DATE($A40,12,31))</f>
        <v>8</v>
      </c>
      <c r="J40">
        <f>SUMIFS(Death_data!J:J,
        Death_data!$A:$A, "&gt;="&amp;DATE($A40,1,1),
        Death_data!$A:$A, "&lt;="&amp;DATE($A40,12,31))</f>
        <v>5</v>
      </c>
      <c r="K40">
        <f>SUMIFS(Death_data!K:K,
        Death_data!$A:$A, "&gt;="&amp;DATE($A40,1,1),
        Death_data!$A:$A, "&lt;="&amp;DATE($A40,12,31))</f>
        <v>6</v>
      </c>
      <c r="L40">
        <f>SUMIFS(Death_data!L:L,
        Death_data!$A:$A, "&gt;="&amp;DATE($A40,1,1),
        Death_data!$A:$A, "&lt;="&amp;DATE($A40,12,31))</f>
        <v>8</v>
      </c>
      <c r="M40">
        <f>SUMIFS(Death_data!M:M,
        Death_data!$A:$A, "&gt;="&amp;DATE($A40,1,1),
        Death_data!$A:$A, "&lt;="&amp;DATE($A40,12,31))</f>
        <v>2</v>
      </c>
      <c r="N40">
        <f>SUMIFS(Death_data!N:N, Death_data!$A:$A, "&gt;="&amp;DATE($A40,1,1), Death_data!$A:$A, "&lt;="&amp;DATE($A40,12,31))</f>
        <v>41</v>
      </c>
      <c r="O40">
        <f>SUMIFS(Death_data!O:O, Death_data!$A:$A, "&gt;="&amp;DATE($A40,1,1), Death_data!$A:$A, "&lt;="&amp;DATE($A40,12,31))</f>
        <v>32</v>
      </c>
      <c r="P40">
        <f>SUMIFS(Death_data!P:P, Death_data!$A:$A, "&gt;="&amp;DATE($A40,1,1), Death_data!$A:$A, "&lt;="&amp;DATE($A40,12,31))</f>
        <v>15</v>
      </c>
      <c r="Q40">
        <f>SUMIFS(Death_data!Q:Q, Death_data!$A:$A, "&gt;="&amp;DATE($A40,1,1), Death_data!$A:$A, "&lt;="&amp;DATE($A40,12,31))</f>
        <v>0</v>
      </c>
      <c r="R40">
        <f>SUMIFS(Death_data!R:R, Death_data!$A:$A, "&gt;="&amp;DATE($A40,1,1), Death_data!$A:$A, "&lt;="&amp;DATE($A40,12,31))</f>
        <v>0</v>
      </c>
      <c r="S40">
        <f>SUMIFS(Death_data!S:S, Death_data!$A:$A, "&gt;="&amp;DATE($A40,1,1), Death_data!$A:$A, "&lt;="&amp;DATE($A40,12,31))</f>
        <v>0</v>
      </c>
      <c r="T40">
        <f>SUMIFS(Death_data!T:T, Death_data!$A:$A, "&gt;="&amp;DATE($A40,1,1), Death_data!$A:$A, "&lt;="&amp;DATE($A40,12,31))</f>
        <v>0</v>
      </c>
      <c r="U40">
        <f>SUMIFS(Death_data!U:U, Death_data!$A:$A, "&gt;="&amp;DATE($A40,1,1), Death_data!$A:$A, "&lt;="&amp;DATE($A40,12,31))</f>
        <v>0</v>
      </c>
      <c r="V40">
        <f>SUMIFS(Death_data!V:V, Death_data!$A:$A, "&gt;="&amp;DATE($A40,1,1), Death_data!$A:$A, "&lt;="&amp;DATE($A40,12,31))</f>
        <v>0</v>
      </c>
    </row>
    <row r="41" spans="1:23" x14ac:dyDescent="0.35">
      <c r="A41" s="10">
        <v>2022</v>
      </c>
      <c r="B41">
        <f>SUMIFS(Death_data!B:B,
        Death_data!$A:$A, "&gt;="&amp;DATE($A41,1,1),
        Death_data!$A:$A, "&lt;="&amp;DATE($A41,12,31))</f>
        <v>9</v>
      </c>
      <c r="C41">
        <f>SUMIFS(Death_data!C:C,
        Death_data!$A:$A, "&gt;="&amp;DATE($A41,1,1),
        Death_data!$A:$A, "&lt;="&amp;DATE($A41,12,31))</f>
        <v>8</v>
      </c>
      <c r="D41">
        <f>SUMIFS(Death_data!D:D,
        Death_data!$A:$A, "&gt;="&amp;DATE($A41,1,1),
        Death_data!$A:$A, "&lt;="&amp;DATE($A41,12,31))</f>
        <v>11</v>
      </c>
      <c r="E41">
        <f>SUMIFS(Death_data!E:E,
        Death_data!$A:$A, "&gt;="&amp;DATE($A41,1,1),
        Death_data!$A:$A, "&lt;="&amp;DATE($A41,12,31))</f>
        <v>8</v>
      </c>
      <c r="F41">
        <f>SUMIFS(Death_data!F:F,
        Death_data!$A:$A, "&gt;="&amp;DATE($A41,1,1),
        Death_data!$A:$A, "&lt;="&amp;DATE($A41,12,31))</f>
        <v>4</v>
      </c>
      <c r="G41">
        <f>SUMIFS(Death_data!G:G,
        Death_data!$A:$A, "&gt;="&amp;DATE($A41,1,1),
        Death_data!$A:$A, "&lt;="&amp;DATE($A41,12,31))</f>
        <v>5</v>
      </c>
      <c r="H41">
        <f>SUMIFS(Death_data!H:H,
        Death_data!$A:$A, "&gt;="&amp;DATE($A41,1,1),
        Death_data!$A:$A, "&lt;="&amp;DATE($A41,12,31))</f>
        <v>7</v>
      </c>
      <c r="I41">
        <f>SUMIFS(Death_data!I:I,
        Death_data!$A:$A, "&gt;="&amp;DATE($A41,1,1),
        Death_data!$A:$A, "&lt;="&amp;DATE($A41,12,31))</f>
        <v>3</v>
      </c>
      <c r="J41">
        <f>SUMIFS(Death_data!J:J,
        Death_data!$A:$A, "&gt;="&amp;DATE($A41,1,1),
        Death_data!$A:$A, "&lt;="&amp;DATE($A41,12,31))</f>
        <v>1</v>
      </c>
      <c r="K41">
        <f>SUMIFS(Death_data!K:K,
        Death_data!$A:$A, "&gt;="&amp;DATE($A41,1,1),
        Death_data!$A:$A, "&lt;="&amp;DATE($A41,12,31))</f>
        <v>7</v>
      </c>
      <c r="L41">
        <f>SUMIFS(Death_data!L:L,
        Death_data!$A:$A, "&gt;="&amp;DATE($A41,1,1),
        Death_data!$A:$A, "&lt;="&amp;DATE($A41,12,31))</f>
        <v>2</v>
      </c>
      <c r="M41">
        <f>SUMIFS(Death_data!M:M,
        Death_data!$A:$A, "&gt;="&amp;DATE($A41,1,1),
        Death_data!$A:$A, "&lt;="&amp;DATE($A41,12,31))</f>
        <v>4</v>
      </c>
      <c r="N41">
        <f>SUMIFS(Death_data!N:N, Death_data!$A:$A, "&gt;="&amp;DATE($A41,1,1), Death_data!$A:$A, "&lt;="&amp;DATE($A41,12,31))</f>
        <v>48</v>
      </c>
      <c r="O41">
        <f>SUMIFS(Death_data!O:O, Death_data!$A:$A, "&gt;="&amp;DATE($A41,1,1), Death_data!$A:$A, "&lt;="&amp;DATE($A41,12,31))</f>
        <v>22</v>
      </c>
      <c r="P41">
        <f>SUMIFS(Death_data!P:P, Death_data!$A:$A, "&gt;="&amp;DATE($A41,1,1), Death_data!$A:$A, "&lt;="&amp;DATE($A41,12,31))</f>
        <v>0</v>
      </c>
      <c r="Q41">
        <f>SUMIFS(Death_data!Q:Q, Death_data!$A:$A, "&gt;="&amp;DATE($A41,1,1), Death_data!$A:$A, "&lt;="&amp;DATE($A41,12,31))</f>
        <v>0</v>
      </c>
      <c r="R41">
        <f>SUMIFS(Death_data!R:R, Death_data!$A:$A, "&gt;="&amp;DATE($A41,1,1), Death_data!$A:$A, "&lt;="&amp;DATE($A41,12,31))</f>
        <v>0</v>
      </c>
      <c r="S41">
        <f>SUMIFS(Death_data!S:S, Death_data!$A:$A, "&gt;="&amp;DATE($A41,1,1), Death_data!$A:$A, "&lt;="&amp;DATE($A41,12,31))</f>
        <v>0</v>
      </c>
      <c r="T41">
        <f>SUMIFS(Death_data!T:T, Death_data!$A:$A, "&gt;="&amp;DATE($A41,1,1), Death_data!$A:$A, "&lt;="&amp;DATE($A41,12,31))</f>
        <v>0</v>
      </c>
      <c r="U41">
        <f>SUMIFS(Death_data!U:U, Death_data!$A:$A, "&gt;="&amp;DATE($A41,1,1), Death_data!$A:$A, "&lt;="&amp;DATE($A41,12,31))</f>
        <v>0</v>
      </c>
      <c r="V41">
        <f>SUMIFS(Death_data!V:V, Death_data!$A:$A, "&gt;="&amp;DATE($A41,1,1), Death_data!$A:$A, "&lt;="&amp;DATE($A41,12,31))</f>
        <v>0</v>
      </c>
    </row>
    <row r="42" spans="1:23" x14ac:dyDescent="0.35">
      <c r="A42" s="10">
        <v>2023</v>
      </c>
      <c r="B42">
        <f>SUMIFS(Death_data!B:B,
        Death_data!$A:$A, "&gt;="&amp;DATE($A42,1,1),
        Death_data!$A:$A, "&lt;="&amp;DATE($A42,12,31))</f>
        <v>8</v>
      </c>
      <c r="C42">
        <f>SUMIFS(Death_data!C:C,
        Death_data!$A:$A, "&gt;="&amp;DATE($A42,1,1),
        Death_data!$A:$A, "&lt;="&amp;DATE($A42,12,31))</f>
        <v>4</v>
      </c>
      <c r="D42">
        <f>SUMIFS(Death_data!D:D,
        Death_data!$A:$A, "&gt;="&amp;DATE($A42,1,1),
        Death_data!$A:$A, "&lt;="&amp;DATE($A42,12,31))</f>
        <v>7</v>
      </c>
      <c r="E42">
        <f>SUMIFS(Death_data!E:E,
        Death_data!$A:$A, "&gt;="&amp;DATE($A42,1,1),
        Death_data!$A:$A, "&lt;="&amp;DATE($A42,12,31))</f>
        <v>6</v>
      </c>
      <c r="F42">
        <f>SUMIFS(Death_data!F:F,
        Death_data!$A:$A, "&gt;="&amp;DATE($A42,1,1),
        Death_data!$A:$A, "&lt;="&amp;DATE($A42,12,31))</f>
        <v>6</v>
      </c>
      <c r="G42">
        <f>SUMIFS(Death_data!G:G,
        Death_data!$A:$A, "&gt;="&amp;DATE($A42,1,1),
        Death_data!$A:$A, "&lt;="&amp;DATE($A42,12,31))</f>
        <v>10</v>
      </c>
      <c r="H42">
        <f>SUMIFS(Death_data!H:H,
        Death_data!$A:$A, "&gt;="&amp;DATE($A42,1,1),
        Death_data!$A:$A, "&lt;="&amp;DATE($A42,12,31))</f>
        <v>7</v>
      </c>
      <c r="I42">
        <f>SUMIFS(Death_data!I:I,
        Death_data!$A:$A, "&gt;="&amp;DATE($A42,1,1),
        Death_data!$A:$A, "&lt;="&amp;DATE($A42,12,31))</f>
        <v>4</v>
      </c>
      <c r="J42">
        <f>SUMIFS(Death_data!J:J,
        Death_data!$A:$A, "&gt;="&amp;DATE($A42,1,1),
        Death_data!$A:$A, "&lt;="&amp;DATE($A42,12,31))</f>
        <v>4</v>
      </c>
      <c r="K42">
        <f>SUMIFS(Death_data!K:K,
        Death_data!$A:$A, "&gt;="&amp;DATE($A42,1,1),
        Death_data!$A:$A, "&lt;="&amp;DATE($A42,12,31))</f>
        <v>1</v>
      </c>
      <c r="L42">
        <f>SUMIFS(Death_data!L:L,
        Death_data!$A:$A, "&gt;="&amp;DATE($A42,1,1),
        Death_data!$A:$A, "&lt;="&amp;DATE($A42,12,31))</f>
        <v>3</v>
      </c>
      <c r="M42">
        <f>SUMIFS(Death_data!M:M,
        Death_data!$A:$A, "&gt;="&amp;DATE($A42,1,1),
        Death_data!$A:$A, "&lt;="&amp;DATE($A42,12,31))</f>
        <v>5</v>
      </c>
      <c r="N42">
        <f>SUMIFS(Death_data!N:N, Death_data!$A:$A, "&gt;="&amp;DATE($A42,1,1), Death_data!$A:$A, "&lt;="&amp;DATE($A42,12,31))</f>
        <v>32</v>
      </c>
      <c r="O42">
        <f>SUMIFS(Death_data!O:O, Death_data!$A:$A, "&gt;="&amp;DATE($A42,1,1), Death_data!$A:$A, "&lt;="&amp;DATE($A42,12,31))</f>
        <v>0</v>
      </c>
      <c r="P42">
        <f>SUMIFS(Death_data!P:P, Death_data!$A:$A, "&gt;="&amp;DATE($A42,1,1), Death_data!$A:$A, "&lt;="&amp;DATE($A42,12,31))</f>
        <v>0</v>
      </c>
      <c r="Q42">
        <f>SUMIFS(Death_data!Q:Q, Death_data!$A:$A, "&gt;="&amp;DATE($A42,1,1), Death_data!$A:$A, "&lt;="&amp;DATE($A42,12,31))</f>
        <v>0</v>
      </c>
      <c r="R42">
        <f>SUMIFS(Death_data!R:R, Death_data!$A:$A, "&gt;="&amp;DATE($A42,1,1), Death_data!$A:$A, "&lt;="&amp;DATE($A42,12,31))</f>
        <v>0</v>
      </c>
      <c r="S42">
        <f>SUMIFS(Death_data!S:S, Death_data!$A:$A, "&gt;="&amp;DATE($A42,1,1), Death_data!$A:$A, "&lt;="&amp;DATE($A42,12,31))</f>
        <v>0</v>
      </c>
      <c r="T42">
        <f>SUMIFS(Death_data!T:T, Death_data!$A:$A, "&gt;="&amp;DATE($A42,1,1), Death_data!$A:$A, "&lt;="&amp;DATE($A42,12,31))</f>
        <v>0</v>
      </c>
      <c r="U42">
        <f>SUMIFS(Death_data!U:U, Death_data!$A:$A, "&gt;="&amp;DATE($A42,1,1), Death_data!$A:$A, "&lt;="&amp;DATE($A42,12,31))</f>
        <v>0</v>
      </c>
      <c r="V42">
        <f>SUMIFS(Death_data!V:V, Death_data!$A:$A, "&gt;="&amp;DATE($A42,1,1), Death_data!$A:$A, "&lt;="&amp;DATE($A42,12,31))</f>
        <v>0</v>
      </c>
    </row>
    <row r="43" spans="1:23" ht="15" thickBot="1" x14ac:dyDescent="0.4">
      <c r="A43" s="12">
        <v>2024</v>
      </c>
      <c r="B43">
        <f>SUMIFS(Death_data!B:B,
        Death_data!$A:$A, "&gt;="&amp;DATE($A43,1,1),
        Death_data!$A:$A, "&lt;="&amp;DATE($A43,12,31))</f>
        <v>4</v>
      </c>
      <c r="C43">
        <f>SUMIFS(Death_data!C:C,
        Death_data!$A:$A, "&gt;="&amp;DATE($A43,1,1),
        Death_data!$A:$A, "&lt;="&amp;DATE($A43,12,31))</f>
        <v>3</v>
      </c>
      <c r="D43">
        <f>SUMIFS(Death_data!D:D,
        Death_data!$A:$A, "&gt;="&amp;DATE($A43,1,1),
        Death_data!$A:$A, "&lt;="&amp;DATE($A43,12,31))</f>
        <v>8</v>
      </c>
      <c r="E43">
        <f>SUMIFS(Death_data!E:E,
        Death_data!$A:$A, "&gt;="&amp;DATE($A43,1,1),
        Death_data!$A:$A, "&lt;="&amp;DATE($A43,12,31))</f>
        <v>4</v>
      </c>
      <c r="F43">
        <f>SUMIFS(Death_data!F:F,
        Death_data!$A:$A, "&gt;="&amp;DATE($A43,1,1),
        Death_data!$A:$A, "&lt;="&amp;DATE($A43,12,31))</f>
        <v>6</v>
      </c>
      <c r="G43">
        <f>SUMIFS(Death_data!G:G,
        Death_data!$A:$A, "&gt;="&amp;DATE($A43,1,1),
        Death_data!$A:$A, "&lt;="&amp;DATE($A43,12,31))</f>
        <v>5</v>
      </c>
      <c r="H43">
        <f>SUMIFS(Death_data!H:H,
        Death_data!$A:$A, "&gt;="&amp;DATE($A43,1,1),
        Death_data!$A:$A, "&lt;="&amp;DATE($A43,12,31))</f>
        <v>0</v>
      </c>
      <c r="I43">
        <f>SUMIFS(Death_data!I:I,
        Death_data!$A:$A, "&gt;="&amp;DATE($A43,1,1),
        Death_data!$A:$A, "&lt;="&amp;DATE($A43,12,31))</f>
        <v>4</v>
      </c>
      <c r="J43">
        <f>SUMIFS(Death_data!J:J,
        Death_data!$A:$A, "&gt;="&amp;DATE($A43,1,1),
        Death_data!$A:$A, "&lt;="&amp;DATE($A43,12,31))</f>
        <v>0</v>
      </c>
      <c r="K43">
        <f>SUMIFS(Death_data!K:K,
        Death_data!$A:$A, "&gt;="&amp;DATE($A43,1,1),
        Death_data!$A:$A, "&lt;="&amp;DATE($A43,12,31))</f>
        <v>0</v>
      </c>
      <c r="L43">
        <f>SUMIFS(Death_data!L:L,
        Death_data!$A:$A, "&gt;="&amp;DATE($A43,1,1),
        Death_data!$A:$A, "&lt;="&amp;DATE($A43,12,31))</f>
        <v>0</v>
      </c>
      <c r="M43">
        <f>SUMIFS(Death_data!M:M,
        Death_data!$A:$A, "&gt;="&amp;DATE($A43,1,1),
        Death_data!$A:$A, "&lt;="&amp;DATE($A43,12,31))</f>
        <v>1</v>
      </c>
      <c r="N43">
        <f>SUMIFS(Death_data!N:N, Death_data!$A:$A, "&gt;="&amp;DATE($A43,1,1), Death_data!$A:$A, "&lt;="&amp;DATE($A43,12,31))</f>
        <v>0</v>
      </c>
      <c r="O43">
        <f>SUMIFS(Death_data!O:O, Death_data!$A:$A, "&gt;="&amp;DATE($A43,1,1), Death_data!$A:$A, "&lt;="&amp;DATE($A43,12,31))</f>
        <v>0</v>
      </c>
      <c r="P43">
        <f>SUMIFS(Death_data!P:P, Death_data!$A:$A, "&gt;="&amp;DATE($A43,1,1), Death_data!$A:$A, "&lt;="&amp;DATE($A43,12,31))</f>
        <v>0</v>
      </c>
      <c r="Q43">
        <f>SUMIFS(Death_data!Q:Q, Death_data!$A:$A, "&gt;="&amp;DATE($A43,1,1), Death_data!$A:$A, "&lt;="&amp;DATE($A43,12,31))</f>
        <v>0</v>
      </c>
      <c r="R43">
        <f>SUMIFS(Death_data!R:R, Death_data!$A:$A, "&gt;="&amp;DATE($A43,1,1), Death_data!$A:$A, "&lt;="&amp;DATE($A43,12,31))</f>
        <v>0</v>
      </c>
      <c r="S43">
        <f>SUMIFS(Death_data!S:S, Death_data!$A:$A, "&gt;="&amp;DATE($A43,1,1), Death_data!$A:$A, "&lt;="&amp;DATE($A43,12,31))</f>
        <v>0</v>
      </c>
      <c r="T43">
        <f>SUMIFS(Death_data!T:T, Death_data!$A:$A, "&gt;="&amp;DATE($A43,1,1), Death_data!$A:$A, "&lt;="&amp;DATE($A43,12,31))</f>
        <v>0</v>
      </c>
      <c r="U43">
        <f>SUMIFS(Death_data!U:U, Death_data!$A:$A, "&gt;="&amp;DATE($A43,1,1), Death_data!$A:$A, "&lt;="&amp;DATE($A43,12,31))</f>
        <v>0</v>
      </c>
      <c r="V43">
        <f>SUMIFS(Death_data!V:V, Death_data!$A:$A, "&gt;="&amp;DATE($A43,1,1), Death_data!$A:$A, "&lt;="&amp;DATE($A43,12,31))</f>
        <v>0</v>
      </c>
    </row>
    <row r="45" spans="1:23" x14ac:dyDescent="0.35">
      <c r="A45" s="8" t="s">
        <v>157</v>
      </c>
    </row>
    <row r="46" spans="1:23" x14ac:dyDescent="0.35">
      <c r="A46" s="10" t="s">
        <v>1</v>
      </c>
      <c r="B46" s="10" t="s">
        <v>18</v>
      </c>
      <c r="C46" s="10" t="s">
        <v>19</v>
      </c>
      <c r="D46" s="10" t="s">
        <v>20</v>
      </c>
      <c r="E46" s="10" t="s">
        <v>21</v>
      </c>
      <c r="F46" s="10" t="s">
        <v>22</v>
      </c>
      <c r="G46" s="10" t="s">
        <v>23</v>
      </c>
      <c r="H46" s="10" t="s">
        <v>24</v>
      </c>
      <c r="I46" s="10" t="s">
        <v>25</v>
      </c>
      <c r="J46" s="10" t="s">
        <v>26</v>
      </c>
      <c r="K46" s="10" t="s">
        <v>27</v>
      </c>
      <c r="L46" s="10" t="s">
        <v>28</v>
      </c>
      <c r="M46" s="10" t="s">
        <v>29</v>
      </c>
      <c r="N46" s="10" t="s">
        <v>30</v>
      </c>
      <c r="O46" s="10" t="s">
        <v>31</v>
      </c>
      <c r="P46" s="10" t="s">
        <v>32</v>
      </c>
      <c r="Q46" s="10" t="s">
        <v>33</v>
      </c>
      <c r="R46" s="10" t="s">
        <v>34</v>
      </c>
      <c r="S46" s="10" t="s">
        <v>35</v>
      </c>
      <c r="T46" s="10" t="s">
        <v>36</v>
      </c>
      <c r="U46" s="10" t="s">
        <v>37</v>
      </c>
      <c r="V46" s="10" t="s">
        <v>38</v>
      </c>
      <c r="W46" s="11" t="s">
        <v>147</v>
      </c>
    </row>
    <row r="47" spans="1:23" x14ac:dyDescent="0.35">
      <c r="A47" s="10">
        <v>2015</v>
      </c>
      <c r="B47">
        <f xml:space="preserve"> SUMIFS('Policies_In-Force'!B:B,'Policies_In-Force'!$A:$A, "&gt;="&amp;DATE($A47,1,1),'Policies_In-Force'!$A:$A, "&lt;="&amp;DATE($A47,12,31))</f>
        <v>11657</v>
      </c>
      <c r="C47">
        <f xml:space="preserve"> SUMIFS('Policies_In-Force'!C:C,'Policies_In-Force'!$A:$A, "&gt;="&amp;DATE($A47,1,1),'Policies_In-Force'!$A:$A, "&lt;="&amp;DATE($A47,12,31))</f>
        <v>11059</v>
      </c>
      <c r="D47">
        <f xml:space="preserve"> SUMIFS('Policies_In-Force'!D:D,'Policies_In-Force'!$A:$A, "&gt;="&amp;DATE($A47,1,1),'Policies_In-Force'!$A:$A, "&lt;="&amp;DATE($A47,12,31))</f>
        <v>10036</v>
      </c>
      <c r="E47">
        <f xml:space="preserve"> SUMIFS('Policies_In-Force'!E:E,'Policies_In-Force'!$A:$A, "&gt;="&amp;DATE($A47,1,1),'Policies_In-Force'!$A:$A, "&lt;="&amp;DATE($A47,12,31))</f>
        <v>9403</v>
      </c>
      <c r="F47">
        <f xml:space="preserve"> SUMIFS('Policies_In-Force'!F:F,'Policies_In-Force'!$A:$A, "&gt;="&amp;DATE($A47,1,1),'Policies_In-Force'!$A:$A, "&lt;="&amp;DATE($A47,12,31))</f>
        <v>8684</v>
      </c>
      <c r="G47">
        <f xml:space="preserve"> SUMIFS('Policies_In-Force'!G:G,'Policies_In-Force'!$A:$A, "&gt;="&amp;DATE($A47,1,1),'Policies_In-Force'!$A:$A, "&lt;="&amp;DATE($A47,12,31))</f>
        <v>8150</v>
      </c>
      <c r="H47">
        <f xml:space="preserve"> SUMIFS('Policies_In-Force'!H:H,'Policies_In-Force'!$A:$A, "&gt;="&amp;DATE($A47,1,1),'Policies_In-Force'!$A:$A, "&lt;="&amp;DATE($A47,12,31))</f>
        <v>7672</v>
      </c>
      <c r="I47">
        <f xml:space="preserve"> SUMIFS('Policies_In-Force'!I:I,'Policies_In-Force'!$A:$A, "&gt;="&amp;DATE($A47,1,1),'Policies_In-Force'!$A:$A, "&lt;="&amp;DATE($A47,12,31))</f>
        <v>7276</v>
      </c>
      <c r="J47">
        <f xml:space="preserve"> SUMIFS('Policies_In-Force'!J:J,'Policies_In-Force'!$A:$A, "&gt;="&amp;DATE($A47,1,1),'Policies_In-Force'!$A:$A, "&lt;="&amp;DATE($A47,12,31))</f>
        <v>6919</v>
      </c>
      <c r="K47">
        <f xml:space="preserve"> SUMIFS('Policies_In-Force'!K:K,'Policies_In-Force'!$A:$A, "&gt;="&amp;DATE($A47,1,1),'Policies_In-Force'!$A:$A, "&lt;="&amp;DATE($A47,12,31))</f>
        <v>6582</v>
      </c>
      <c r="L47">
        <f xml:space="preserve"> SUMIFS('Policies_In-Force'!L:L,'Policies_In-Force'!$A:$A, "&gt;="&amp;DATE($A47,1,1),'Policies_In-Force'!$A:$A, "&lt;="&amp;DATE($A47,12,31))</f>
        <v>6310</v>
      </c>
      <c r="M47">
        <f xml:space="preserve"> SUMIFS('Policies_In-Force'!M:M,'Policies_In-Force'!$A:$A, "&gt;="&amp;DATE($A47,1,1),'Policies_In-Force'!$A:$A, "&lt;="&amp;DATE($A47,12,31))</f>
        <v>6079</v>
      </c>
      <c r="N47">
        <f>SUMIFS('Policies_In-Force'!N:N, 'Policies_In-Force'!$A:$A, "&gt;="&amp;DATE($A47,1,1), 'Policies_In-Force'!$A:$A, "&lt;="&amp;DATE($A47,12,31))</f>
        <v>5839</v>
      </c>
      <c r="O47">
        <f>SUMIFS('Policies_In-Force'!O:O, 'Policies_In-Force'!$A:$A, "&gt;="&amp;DATE($A47,1,1), 'Policies_In-Force'!$A:$A, "&lt;="&amp;DATE($A47,12,31))</f>
        <v>3932</v>
      </c>
      <c r="P47">
        <f>SUMIFS('Policies_In-Force'!P:P, 'Policies_In-Force'!$A:$A, "&gt;="&amp;DATE($A47,1,1), 'Policies_In-Force'!$A:$A, "&lt;="&amp;DATE($A47,12,31))</f>
        <v>2969</v>
      </c>
      <c r="Q47">
        <f>SUMIFS('Policies_In-Force'!Q:Q, 'Policies_In-Force'!$A:$A, "&gt;="&amp;DATE($A47,1,1), 'Policies_In-Force'!$A:$A, "&lt;="&amp;DATE($A47,12,31))</f>
        <v>2325</v>
      </c>
      <c r="R47">
        <f>SUMIFS('Policies_In-Force'!R:R, 'Policies_In-Force'!$A:$A, "&gt;="&amp;DATE($A47,1,1), 'Policies_In-Force'!$A:$A, "&lt;="&amp;DATE($A47,12,31))</f>
        <v>1903</v>
      </c>
      <c r="S47">
        <f>SUMIFS('Policies_In-Force'!S:S, 'Policies_In-Force'!$A:$A, "&gt;="&amp;DATE($A47,1,1), 'Policies_In-Force'!$A:$A, "&lt;="&amp;DATE($A47,12,31))</f>
        <v>1596</v>
      </c>
      <c r="T47">
        <f>SUMIFS('Policies_In-Force'!T:T, 'Policies_In-Force'!$A:$A, "&gt;="&amp;DATE($A47,1,1), 'Policies_In-Force'!$A:$A, "&lt;="&amp;DATE($A47,12,31))</f>
        <v>1367</v>
      </c>
      <c r="U47">
        <f>SUMIFS('Policies_In-Force'!U:U, 'Policies_In-Force'!$A:$A, "&gt;="&amp;DATE($A47,1,1), 'Policies_In-Force'!$A:$A, "&lt;="&amp;DATE($A47,12,31))</f>
        <v>1191</v>
      </c>
      <c r="V47">
        <f>SUMIFS('Policies_In-Force'!V:V, 'Policies_In-Force'!$A:$A, "&gt;="&amp;DATE($A47,1,1), 'Policies_In-Force'!$A:$A, "&lt;="&amp;DATE($A47,12,31))</f>
        <v>1060</v>
      </c>
      <c r="W47">
        <f>SUMIFS('Policies_In-Force'!W:W, 'Policies_In-Force'!$A:$A, "&gt;="&amp;DATE($A47,1,1), 'Policies_In-Force'!$A:$A, "&lt;="&amp;DATE($A47,12,31))</f>
        <v>993</v>
      </c>
    </row>
    <row r="48" spans="1:23" x14ac:dyDescent="0.35">
      <c r="A48" s="10">
        <v>2016</v>
      </c>
      <c r="B48">
        <f xml:space="preserve"> SUMIFS('Policies_In-Force'!B:B,'Policies_In-Force'!$A:$A, "&gt;="&amp;DATE($A48,1,1),'Policies_In-Force'!$A:$A, "&lt;="&amp;DATE($A48,12,31))</f>
        <v>9235</v>
      </c>
      <c r="C48">
        <f xml:space="preserve"> SUMIFS('Policies_In-Force'!C:C,'Policies_In-Force'!$A:$A, "&gt;="&amp;DATE($A48,1,1),'Policies_In-Force'!$A:$A, "&lt;="&amp;DATE($A48,12,31))</f>
        <v>8659</v>
      </c>
      <c r="D48">
        <f xml:space="preserve"> SUMIFS('Policies_In-Force'!D:D,'Policies_In-Force'!$A:$A, "&gt;="&amp;DATE($A48,1,1),'Policies_In-Force'!$A:$A, "&lt;="&amp;DATE($A48,12,31))</f>
        <v>7767</v>
      </c>
      <c r="E48">
        <f xml:space="preserve"> SUMIFS('Policies_In-Force'!E:E,'Policies_In-Force'!$A:$A, "&gt;="&amp;DATE($A48,1,1),'Policies_In-Force'!$A:$A, "&lt;="&amp;DATE($A48,12,31))</f>
        <v>7140</v>
      </c>
      <c r="F48">
        <f xml:space="preserve"> SUMIFS('Policies_In-Force'!F:F,'Policies_In-Force'!$A:$A, "&gt;="&amp;DATE($A48,1,1),'Policies_In-Force'!$A:$A, "&lt;="&amp;DATE($A48,12,31))</f>
        <v>6557</v>
      </c>
      <c r="G48">
        <f xml:space="preserve"> SUMIFS('Policies_In-Force'!G:G,'Policies_In-Force'!$A:$A, "&gt;="&amp;DATE($A48,1,1),'Policies_In-Force'!$A:$A, "&lt;="&amp;DATE($A48,12,31))</f>
        <v>6137</v>
      </c>
      <c r="H48">
        <f xml:space="preserve"> SUMIFS('Policies_In-Force'!H:H,'Policies_In-Force'!$A:$A, "&gt;="&amp;DATE($A48,1,1),'Policies_In-Force'!$A:$A, "&lt;="&amp;DATE($A48,12,31))</f>
        <v>5757</v>
      </c>
      <c r="I48">
        <f xml:space="preserve"> SUMIFS('Policies_In-Force'!I:I,'Policies_In-Force'!$A:$A, "&gt;="&amp;DATE($A48,1,1),'Policies_In-Force'!$A:$A, "&lt;="&amp;DATE($A48,12,31))</f>
        <v>5402</v>
      </c>
      <c r="J48">
        <f xml:space="preserve"> SUMIFS('Policies_In-Force'!J:J,'Policies_In-Force'!$A:$A, "&gt;="&amp;DATE($A48,1,1),'Policies_In-Force'!$A:$A, "&lt;="&amp;DATE($A48,12,31))</f>
        <v>5131</v>
      </c>
      <c r="K48">
        <f xml:space="preserve"> SUMIFS('Policies_In-Force'!K:K,'Policies_In-Force'!$A:$A, "&gt;="&amp;DATE($A48,1,1),'Policies_In-Force'!$A:$A, "&lt;="&amp;DATE($A48,12,31))</f>
        <v>4902</v>
      </c>
      <c r="L48">
        <f xml:space="preserve"> SUMIFS('Policies_In-Force'!L:L,'Policies_In-Force'!$A:$A, "&gt;="&amp;DATE($A48,1,1),'Policies_In-Force'!$A:$A, "&lt;="&amp;DATE($A48,12,31))</f>
        <v>4682</v>
      </c>
      <c r="M48">
        <f xml:space="preserve"> SUMIFS('Policies_In-Force'!M:M,'Policies_In-Force'!$A:$A, "&gt;="&amp;DATE($A48,1,1),'Policies_In-Force'!$A:$A, "&lt;="&amp;DATE($A48,12,31))</f>
        <v>4467</v>
      </c>
      <c r="N48">
        <f>SUMIFS('Policies_In-Force'!N:N, 'Policies_In-Force'!$A:$A, "&gt;="&amp;DATE($A48,1,1), 'Policies_In-Force'!$A:$A, "&lt;="&amp;DATE($A48,12,31))</f>
        <v>4277</v>
      </c>
      <c r="O48">
        <f>SUMIFS('Policies_In-Force'!O:O, 'Policies_In-Force'!$A:$A, "&gt;="&amp;DATE($A48,1,1), 'Policies_In-Force'!$A:$A, "&lt;="&amp;DATE($A48,12,31))</f>
        <v>2926</v>
      </c>
      <c r="P48">
        <f>SUMIFS('Policies_In-Force'!P:P, 'Policies_In-Force'!$A:$A, "&gt;="&amp;DATE($A48,1,1), 'Policies_In-Force'!$A:$A, "&lt;="&amp;DATE($A48,12,31))</f>
        <v>2213</v>
      </c>
      <c r="Q48">
        <f>SUMIFS('Policies_In-Force'!Q:Q, 'Policies_In-Force'!$A:$A, "&gt;="&amp;DATE($A48,1,1), 'Policies_In-Force'!$A:$A, "&lt;="&amp;DATE($A48,12,31))</f>
        <v>1765</v>
      </c>
      <c r="R48">
        <f>SUMIFS('Policies_In-Force'!R:R, 'Policies_In-Force'!$A:$A, "&gt;="&amp;DATE($A48,1,1), 'Policies_In-Force'!$A:$A, "&lt;="&amp;DATE($A48,12,31))</f>
        <v>1438</v>
      </c>
      <c r="S48">
        <f>SUMIFS('Policies_In-Force'!S:S, 'Policies_In-Force'!$A:$A, "&gt;="&amp;DATE($A48,1,1), 'Policies_In-Force'!$A:$A, "&lt;="&amp;DATE($A48,12,31))</f>
        <v>1198</v>
      </c>
      <c r="T48">
        <f>SUMIFS('Policies_In-Force'!T:T, 'Policies_In-Force'!$A:$A, "&gt;="&amp;DATE($A48,1,1), 'Policies_In-Force'!$A:$A, "&lt;="&amp;DATE($A48,12,31))</f>
        <v>1033</v>
      </c>
      <c r="U48">
        <f>SUMIFS('Policies_In-Force'!U:U, 'Policies_In-Force'!$A:$A, "&gt;="&amp;DATE($A48,1,1), 'Policies_In-Force'!$A:$A, "&lt;="&amp;DATE($A48,12,31))</f>
        <v>911</v>
      </c>
      <c r="V48">
        <f>SUMIFS('Policies_In-Force'!V:V, 'Policies_In-Force'!$A:$A, "&gt;="&amp;DATE($A48,1,1), 'Policies_In-Force'!$A:$A, "&lt;="&amp;DATE($A48,12,31))</f>
        <v>849</v>
      </c>
      <c r="W48">
        <f>SUMIFS('Policies_In-Force'!W:W, 'Policies_In-Force'!$A:$A, "&gt;="&amp;DATE($A48,1,1), 'Policies_In-Force'!$A:$A, "&lt;="&amp;DATE($A48,12,31))</f>
        <v>849</v>
      </c>
    </row>
    <row r="49" spans="1:26" x14ac:dyDescent="0.35">
      <c r="A49" s="10">
        <v>2017</v>
      </c>
      <c r="B49">
        <f xml:space="preserve"> SUMIFS('Policies_In-Force'!B:B,'Policies_In-Force'!$A:$A, "&gt;="&amp;DATE($A49,1,1),'Policies_In-Force'!$A:$A, "&lt;="&amp;DATE($A49,12,31))</f>
        <v>12443</v>
      </c>
      <c r="C49">
        <f xml:space="preserve"> SUMIFS('Policies_In-Force'!C:C,'Policies_In-Force'!$A:$A, "&gt;="&amp;DATE($A49,1,1),'Policies_In-Force'!$A:$A, "&lt;="&amp;DATE($A49,12,31))</f>
        <v>11618</v>
      </c>
      <c r="D49">
        <f xml:space="preserve"> SUMIFS('Policies_In-Force'!D:D,'Policies_In-Force'!$A:$A, "&gt;="&amp;DATE($A49,1,1),'Policies_In-Force'!$A:$A, "&lt;="&amp;DATE($A49,12,31))</f>
        <v>10264</v>
      </c>
      <c r="E49">
        <f xml:space="preserve"> SUMIFS('Policies_In-Force'!E:E,'Policies_In-Force'!$A:$A, "&gt;="&amp;DATE($A49,1,1),'Policies_In-Force'!$A:$A, "&lt;="&amp;DATE($A49,12,31))</f>
        <v>9149</v>
      </c>
      <c r="F49">
        <f xml:space="preserve"> SUMIFS('Policies_In-Force'!F:F,'Policies_In-Force'!$A:$A, "&gt;="&amp;DATE($A49,1,1),'Policies_In-Force'!$A:$A, "&lt;="&amp;DATE($A49,12,31))</f>
        <v>8216</v>
      </c>
      <c r="G49">
        <f xml:space="preserve"> SUMIFS('Policies_In-Force'!G:G,'Policies_In-Force'!$A:$A, "&gt;="&amp;DATE($A49,1,1),'Policies_In-Force'!$A:$A, "&lt;="&amp;DATE($A49,12,31))</f>
        <v>7628</v>
      </c>
      <c r="H49">
        <f xml:space="preserve"> SUMIFS('Policies_In-Force'!H:H,'Policies_In-Force'!$A:$A, "&gt;="&amp;DATE($A49,1,1),'Policies_In-Force'!$A:$A, "&lt;="&amp;DATE($A49,12,31))</f>
        <v>7152</v>
      </c>
      <c r="I49">
        <f xml:space="preserve"> SUMIFS('Policies_In-Force'!I:I,'Policies_In-Force'!$A:$A, "&gt;="&amp;DATE($A49,1,1),'Policies_In-Force'!$A:$A, "&lt;="&amp;DATE($A49,12,31))</f>
        <v>6721</v>
      </c>
      <c r="J49">
        <f xml:space="preserve"> SUMIFS('Policies_In-Force'!J:J,'Policies_In-Force'!$A:$A, "&gt;="&amp;DATE($A49,1,1),'Policies_In-Force'!$A:$A, "&lt;="&amp;DATE($A49,12,31))</f>
        <v>6355</v>
      </c>
      <c r="K49">
        <f xml:space="preserve"> SUMIFS('Policies_In-Force'!K:K,'Policies_In-Force'!$A:$A, "&gt;="&amp;DATE($A49,1,1),'Policies_In-Force'!$A:$A, "&lt;="&amp;DATE($A49,12,31))</f>
        <v>6047</v>
      </c>
      <c r="L49">
        <f xml:space="preserve"> SUMIFS('Policies_In-Force'!L:L,'Policies_In-Force'!$A:$A, "&gt;="&amp;DATE($A49,1,1),'Policies_In-Force'!$A:$A, "&lt;="&amp;DATE($A49,12,31))</f>
        <v>5711</v>
      </c>
      <c r="M49">
        <f xml:space="preserve"> SUMIFS('Policies_In-Force'!M:M,'Policies_In-Force'!$A:$A, "&gt;="&amp;DATE($A49,1,1),'Policies_In-Force'!$A:$A, "&lt;="&amp;DATE($A49,12,31))</f>
        <v>5388</v>
      </c>
      <c r="N49">
        <f>SUMIFS('Policies_In-Force'!N:N, 'Policies_In-Force'!$A:$A, "&gt;="&amp;DATE($A49,1,1), 'Policies_In-Force'!$A:$A, "&lt;="&amp;DATE($A49,12,31))</f>
        <v>5116</v>
      </c>
      <c r="O49">
        <f>SUMIFS('Policies_In-Force'!O:O, 'Policies_In-Force'!$A:$A, "&gt;="&amp;DATE($A49,1,1), 'Policies_In-Force'!$A:$A, "&lt;="&amp;DATE($A49,12,31))</f>
        <v>3148</v>
      </c>
      <c r="P49">
        <f>SUMIFS('Policies_In-Force'!P:P, 'Policies_In-Force'!$A:$A, "&gt;="&amp;DATE($A49,1,1), 'Policies_In-Force'!$A:$A, "&lt;="&amp;DATE($A49,12,31))</f>
        <v>2237</v>
      </c>
      <c r="Q49">
        <f>SUMIFS('Policies_In-Force'!Q:Q, 'Policies_In-Force'!$A:$A, "&gt;="&amp;DATE($A49,1,1), 'Policies_In-Force'!$A:$A, "&lt;="&amp;DATE($A49,12,31))</f>
        <v>1720</v>
      </c>
      <c r="R49">
        <f>SUMIFS('Policies_In-Force'!R:R, 'Policies_In-Force'!$A:$A, "&gt;="&amp;DATE($A49,1,1), 'Policies_In-Force'!$A:$A, "&lt;="&amp;DATE($A49,12,31))</f>
        <v>1379</v>
      </c>
      <c r="S49">
        <f>SUMIFS('Policies_In-Force'!S:S, 'Policies_In-Force'!$A:$A, "&gt;="&amp;DATE($A49,1,1), 'Policies_In-Force'!$A:$A, "&lt;="&amp;DATE($A49,12,31))</f>
        <v>1122</v>
      </c>
      <c r="T49">
        <f>SUMIFS('Policies_In-Force'!T:T, 'Policies_In-Force'!$A:$A, "&gt;="&amp;DATE($A49,1,1), 'Policies_In-Force'!$A:$A, "&lt;="&amp;DATE($A49,12,31))</f>
        <v>943</v>
      </c>
      <c r="U49">
        <f>SUMIFS('Policies_In-Force'!U:U, 'Policies_In-Force'!$A:$A, "&gt;="&amp;DATE($A49,1,1), 'Policies_In-Force'!$A:$A, "&lt;="&amp;DATE($A49,12,31))</f>
        <v>871</v>
      </c>
      <c r="V49">
        <f>SUMIFS('Policies_In-Force'!V:V, 'Policies_In-Force'!$A:$A, "&gt;="&amp;DATE($A49,1,1), 'Policies_In-Force'!$A:$A, "&lt;="&amp;DATE($A49,12,31))</f>
        <v>871</v>
      </c>
      <c r="W49">
        <f>SUMIFS('Policies_In-Force'!W:W, 'Policies_In-Force'!$A:$A, "&gt;="&amp;DATE($A49,1,1), 'Policies_In-Force'!$A:$A, "&lt;="&amp;DATE($A49,12,31))</f>
        <v>871</v>
      </c>
    </row>
    <row r="50" spans="1:26" x14ac:dyDescent="0.35">
      <c r="A50" s="10">
        <v>2018</v>
      </c>
      <c r="B50">
        <f xml:space="preserve"> SUMIFS('Policies_In-Force'!B:B,'Policies_In-Force'!$A:$A, "&gt;="&amp;DATE($A50,1,1),'Policies_In-Force'!$A:$A, "&lt;="&amp;DATE($A50,12,31))</f>
        <v>15148</v>
      </c>
      <c r="C50">
        <f xml:space="preserve"> SUMIFS('Policies_In-Force'!C:C,'Policies_In-Force'!$A:$A, "&gt;="&amp;DATE($A50,1,1),'Policies_In-Force'!$A:$A, "&lt;="&amp;DATE($A50,12,31))</f>
        <v>13971</v>
      </c>
      <c r="D50">
        <f xml:space="preserve"> SUMIFS('Policies_In-Force'!D:D,'Policies_In-Force'!$A:$A, "&gt;="&amp;DATE($A50,1,1),'Policies_In-Force'!$A:$A, "&lt;="&amp;DATE($A50,12,31))</f>
        <v>11812</v>
      </c>
      <c r="E50">
        <f xml:space="preserve"> SUMIFS('Policies_In-Force'!E:E,'Policies_In-Force'!$A:$A, "&gt;="&amp;DATE($A50,1,1),'Policies_In-Force'!$A:$A, "&lt;="&amp;DATE($A50,12,31))</f>
        <v>10272</v>
      </c>
      <c r="F50">
        <f xml:space="preserve"> SUMIFS('Policies_In-Force'!F:F,'Policies_In-Force'!$A:$A, "&gt;="&amp;DATE($A50,1,1),'Policies_In-Force'!$A:$A, "&lt;="&amp;DATE($A50,12,31))</f>
        <v>9195</v>
      </c>
      <c r="G50">
        <f xml:space="preserve"> SUMIFS('Policies_In-Force'!G:G,'Policies_In-Force'!$A:$A, "&gt;="&amp;DATE($A50,1,1),'Policies_In-Force'!$A:$A, "&lt;="&amp;DATE($A50,12,31))</f>
        <v>8492</v>
      </c>
      <c r="H50">
        <f xml:space="preserve"> SUMIFS('Policies_In-Force'!H:H,'Policies_In-Force'!$A:$A, "&gt;="&amp;DATE($A50,1,1),'Policies_In-Force'!$A:$A, "&lt;="&amp;DATE($A50,12,31))</f>
        <v>7821</v>
      </c>
      <c r="I50">
        <f xml:space="preserve"> SUMIFS('Policies_In-Force'!I:I,'Policies_In-Force'!$A:$A, "&gt;="&amp;DATE($A50,1,1),'Policies_In-Force'!$A:$A, "&lt;="&amp;DATE($A50,12,31))</f>
        <v>7275</v>
      </c>
      <c r="J50">
        <f xml:space="preserve"> SUMIFS('Policies_In-Force'!J:J,'Policies_In-Force'!$A:$A, "&gt;="&amp;DATE($A50,1,1),'Policies_In-Force'!$A:$A, "&lt;="&amp;DATE($A50,12,31))</f>
        <v>6767</v>
      </c>
      <c r="K50">
        <f xml:space="preserve"> SUMIFS('Policies_In-Force'!K:K,'Policies_In-Force'!$A:$A, "&gt;="&amp;DATE($A50,1,1),'Policies_In-Force'!$A:$A, "&lt;="&amp;DATE($A50,12,31))</f>
        <v>6350</v>
      </c>
      <c r="L50">
        <f xml:space="preserve"> SUMIFS('Policies_In-Force'!L:L,'Policies_In-Force'!$A:$A, "&gt;="&amp;DATE($A50,1,1),'Policies_In-Force'!$A:$A, "&lt;="&amp;DATE($A50,12,31))</f>
        <v>5965</v>
      </c>
      <c r="M50">
        <f xml:space="preserve"> SUMIFS('Policies_In-Force'!M:M,'Policies_In-Force'!$A:$A, "&gt;="&amp;DATE($A50,1,1),'Policies_In-Force'!$A:$A, "&lt;="&amp;DATE($A50,12,31))</f>
        <v>5612</v>
      </c>
      <c r="N50">
        <f>SUMIFS('Policies_In-Force'!N:N, 'Policies_In-Force'!$A:$A, "&gt;="&amp;DATE($A50,1,1), 'Policies_In-Force'!$A:$A, "&lt;="&amp;DATE($A50,12,31))</f>
        <v>5268</v>
      </c>
      <c r="O50">
        <f>SUMIFS('Policies_In-Force'!O:O, 'Policies_In-Force'!$A:$A, "&gt;="&amp;DATE($A50,1,1), 'Policies_In-Force'!$A:$A, "&lt;="&amp;DATE($A50,12,31))</f>
        <v>3028</v>
      </c>
      <c r="P50">
        <f>SUMIFS('Policies_In-Force'!P:P, 'Policies_In-Force'!$A:$A, "&gt;="&amp;DATE($A50,1,1), 'Policies_In-Force'!$A:$A, "&lt;="&amp;DATE($A50,12,31))</f>
        <v>2095</v>
      </c>
      <c r="Q50">
        <f>SUMIFS('Policies_In-Force'!Q:Q, 'Policies_In-Force'!$A:$A, "&gt;="&amp;DATE($A50,1,1), 'Policies_In-Force'!$A:$A, "&lt;="&amp;DATE($A50,12,31))</f>
        <v>1506</v>
      </c>
      <c r="R50">
        <f>SUMIFS('Policies_In-Force'!R:R, 'Policies_In-Force'!$A:$A, "&gt;="&amp;DATE($A50,1,1), 'Policies_In-Force'!$A:$A, "&lt;="&amp;DATE($A50,12,31))</f>
        <v>1154</v>
      </c>
      <c r="S50">
        <f>SUMIFS('Policies_In-Force'!S:S, 'Policies_In-Force'!$A:$A, "&gt;="&amp;DATE($A50,1,1), 'Policies_In-Force'!$A:$A, "&lt;="&amp;DATE($A50,12,31))</f>
        <v>911</v>
      </c>
      <c r="T50">
        <f>SUMIFS('Policies_In-Force'!T:T, 'Policies_In-Force'!$A:$A, "&gt;="&amp;DATE($A50,1,1), 'Policies_In-Force'!$A:$A, "&lt;="&amp;DATE($A50,12,31))</f>
        <v>823</v>
      </c>
      <c r="U50">
        <f>SUMIFS('Policies_In-Force'!U:U, 'Policies_In-Force'!$A:$A, "&gt;="&amp;DATE($A50,1,1), 'Policies_In-Force'!$A:$A, "&lt;="&amp;DATE($A50,12,31))</f>
        <v>823</v>
      </c>
      <c r="V50">
        <f>SUMIFS('Policies_In-Force'!V:V, 'Policies_In-Force'!$A:$A, "&gt;="&amp;DATE($A50,1,1), 'Policies_In-Force'!$A:$A, "&lt;="&amp;DATE($A50,12,31))</f>
        <v>823</v>
      </c>
      <c r="W50">
        <f>SUMIFS('Policies_In-Force'!W:W, 'Policies_In-Force'!$A:$A, "&gt;="&amp;DATE($A50,1,1), 'Policies_In-Force'!$A:$A, "&lt;="&amp;DATE($A50,12,31))</f>
        <v>823</v>
      </c>
    </row>
    <row r="51" spans="1:26" x14ac:dyDescent="0.35">
      <c r="A51" s="10">
        <v>2019</v>
      </c>
      <c r="B51">
        <f xml:space="preserve"> SUMIFS('Policies_In-Force'!B:B,'Policies_In-Force'!$A:$A, "&gt;="&amp;DATE($A51,1,1),'Policies_In-Force'!$A:$A, "&lt;="&amp;DATE($A51,12,31))</f>
        <v>11120</v>
      </c>
      <c r="C51">
        <f xml:space="preserve"> SUMIFS('Policies_In-Force'!C:C,'Policies_In-Force'!$A:$A, "&gt;="&amp;DATE($A51,1,1),'Policies_In-Force'!$A:$A, "&lt;="&amp;DATE($A51,12,31))</f>
        <v>9758</v>
      </c>
      <c r="D51">
        <f xml:space="preserve"> SUMIFS('Policies_In-Force'!D:D,'Policies_In-Force'!$A:$A, "&gt;="&amp;DATE($A51,1,1),'Policies_In-Force'!$A:$A, "&lt;="&amp;DATE($A51,12,31))</f>
        <v>8248</v>
      </c>
      <c r="E51">
        <f xml:space="preserve"> SUMIFS('Policies_In-Force'!E:E,'Policies_In-Force'!$A:$A, "&gt;="&amp;DATE($A51,1,1),'Policies_In-Force'!$A:$A, "&lt;="&amp;DATE($A51,12,31))</f>
        <v>6842</v>
      </c>
      <c r="F51">
        <f xml:space="preserve"> SUMIFS('Policies_In-Force'!F:F,'Policies_In-Force'!$A:$A, "&gt;="&amp;DATE($A51,1,1),'Policies_In-Force'!$A:$A, "&lt;="&amp;DATE($A51,12,31))</f>
        <v>6076</v>
      </c>
      <c r="G51">
        <f xml:space="preserve"> SUMIFS('Policies_In-Force'!G:G,'Policies_In-Force'!$A:$A, "&gt;="&amp;DATE($A51,1,1),'Policies_In-Force'!$A:$A, "&lt;="&amp;DATE($A51,12,31))</f>
        <v>5582</v>
      </c>
      <c r="H51">
        <f xml:space="preserve"> SUMIFS('Policies_In-Force'!H:H,'Policies_In-Force'!$A:$A, "&gt;="&amp;DATE($A51,1,1),'Policies_In-Force'!$A:$A, "&lt;="&amp;DATE($A51,12,31))</f>
        <v>5087</v>
      </c>
      <c r="I51">
        <f xml:space="preserve"> SUMIFS('Policies_In-Force'!I:I,'Policies_In-Force'!$A:$A, "&gt;="&amp;DATE($A51,1,1),'Policies_In-Force'!$A:$A, "&lt;="&amp;DATE($A51,12,31))</f>
        <v>4702</v>
      </c>
      <c r="J51">
        <f xml:space="preserve"> SUMIFS('Policies_In-Force'!J:J,'Policies_In-Force'!$A:$A, "&gt;="&amp;DATE($A51,1,1),'Policies_In-Force'!$A:$A, "&lt;="&amp;DATE($A51,12,31))</f>
        <v>4383</v>
      </c>
      <c r="K51">
        <f xml:space="preserve"> SUMIFS('Policies_In-Force'!K:K,'Policies_In-Force'!$A:$A, "&gt;="&amp;DATE($A51,1,1),'Policies_In-Force'!$A:$A, "&lt;="&amp;DATE($A51,12,31))</f>
        <v>4092</v>
      </c>
      <c r="L51">
        <f xml:space="preserve"> SUMIFS('Policies_In-Force'!L:L,'Policies_In-Force'!$A:$A, "&gt;="&amp;DATE($A51,1,1),'Policies_In-Force'!$A:$A, "&lt;="&amp;DATE($A51,12,31))</f>
        <v>3811</v>
      </c>
      <c r="M51">
        <f xml:space="preserve"> SUMIFS('Policies_In-Force'!M:M,'Policies_In-Force'!$A:$A, "&gt;="&amp;DATE($A51,1,1),'Policies_In-Force'!$A:$A, "&lt;="&amp;DATE($A51,12,31))</f>
        <v>3589</v>
      </c>
      <c r="N51">
        <f>SUMIFS('Policies_In-Force'!N:N, 'Policies_In-Force'!$A:$A, "&gt;="&amp;DATE($A51,1,1), 'Policies_In-Force'!$A:$A, "&lt;="&amp;DATE($A51,12,31))</f>
        <v>3336</v>
      </c>
      <c r="O51">
        <f>SUMIFS('Policies_In-Force'!O:O, 'Policies_In-Force'!$A:$A, "&gt;="&amp;DATE($A51,1,1), 'Policies_In-Force'!$A:$A, "&lt;="&amp;DATE($A51,12,31))</f>
        <v>1790</v>
      </c>
      <c r="P51">
        <f>SUMIFS('Policies_In-Force'!P:P, 'Policies_In-Force'!$A:$A, "&gt;="&amp;DATE($A51,1,1), 'Policies_In-Force'!$A:$A, "&lt;="&amp;DATE($A51,12,31))</f>
        <v>1095</v>
      </c>
      <c r="Q51">
        <f>SUMIFS('Policies_In-Force'!Q:Q, 'Policies_In-Force'!$A:$A, "&gt;="&amp;DATE($A51,1,1), 'Policies_In-Force'!$A:$A, "&lt;="&amp;DATE($A51,12,31))</f>
        <v>738</v>
      </c>
      <c r="R51">
        <f>SUMIFS('Policies_In-Force'!R:R, 'Policies_In-Force'!$A:$A, "&gt;="&amp;DATE($A51,1,1), 'Policies_In-Force'!$A:$A, "&lt;="&amp;DATE($A51,12,31))</f>
        <v>496</v>
      </c>
      <c r="S51">
        <f>SUMIFS('Policies_In-Force'!S:S, 'Policies_In-Force'!$A:$A, "&gt;="&amp;DATE($A51,1,1), 'Policies_In-Force'!$A:$A, "&lt;="&amp;DATE($A51,12,31))</f>
        <v>418</v>
      </c>
      <c r="T51">
        <f>SUMIFS('Policies_In-Force'!T:T, 'Policies_In-Force'!$A:$A, "&gt;="&amp;DATE($A51,1,1), 'Policies_In-Force'!$A:$A, "&lt;="&amp;DATE($A51,12,31))</f>
        <v>418</v>
      </c>
      <c r="U51">
        <f>SUMIFS('Policies_In-Force'!U:U, 'Policies_In-Force'!$A:$A, "&gt;="&amp;DATE($A51,1,1), 'Policies_In-Force'!$A:$A, "&lt;="&amp;DATE($A51,12,31))</f>
        <v>418</v>
      </c>
      <c r="V51">
        <f>SUMIFS('Policies_In-Force'!V:V, 'Policies_In-Force'!$A:$A, "&gt;="&amp;DATE($A51,1,1), 'Policies_In-Force'!$A:$A, "&lt;="&amp;DATE($A51,12,31))</f>
        <v>418</v>
      </c>
      <c r="W51">
        <f>SUMIFS('Policies_In-Force'!W:W, 'Policies_In-Force'!$A:$A, "&gt;="&amp;DATE($A51,1,1), 'Policies_In-Force'!$A:$A, "&lt;="&amp;DATE($A51,12,31))</f>
        <v>418</v>
      </c>
    </row>
    <row r="52" spans="1:26" x14ac:dyDescent="0.35">
      <c r="A52" s="10">
        <v>2020</v>
      </c>
      <c r="B52">
        <f xml:space="preserve"> SUMIFS('Policies_In-Force'!B:B,'Policies_In-Force'!$A:$A, "&gt;="&amp;DATE($A52,1,1),'Policies_In-Force'!$A:$A, "&lt;="&amp;DATE($A52,12,31))</f>
        <v>8209</v>
      </c>
      <c r="C52">
        <f xml:space="preserve"> SUMIFS('Policies_In-Force'!C:C,'Policies_In-Force'!$A:$A, "&gt;="&amp;DATE($A52,1,1),'Policies_In-Force'!$A:$A, "&lt;="&amp;DATE($A52,12,31))</f>
        <v>7492</v>
      </c>
      <c r="D52">
        <f xml:space="preserve"> SUMIFS('Policies_In-Force'!D:D,'Policies_In-Force'!$A:$A, "&gt;="&amp;DATE($A52,1,1),'Policies_In-Force'!$A:$A, "&lt;="&amp;DATE($A52,12,31))</f>
        <v>6309</v>
      </c>
      <c r="E52">
        <f xml:space="preserve"> SUMIFS('Policies_In-Force'!E:E,'Policies_In-Force'!$A:$A, "&gt;="&amp;DATE($A52,1,1),'Policies_In-Force'!$A:$A, "&lt;="&amp;DATE($A52,12,31))</f>
        <v>5468</v>
      </c>
      <c r="F52">
        <f xml:space="preserve"> SUMIFS('Policies_In-Force'!F:F,'Policies_In-Force'!$A:$A, "&gt;="&amp;DATE($A52,1,1),'Policies_In-Force'!$A:$A, "&lt;="&amp;DATE($A52,12,31))</f>
        <v>4966</v>
      </c>
      <c r="G52">
        <f xml:space="preserve"> SUMIFS('Policies_In-Force'!G:G,'Policies_In-Force'!$A:$A, "&gt;="&amp;DATE($A52,1,1),'Policies_In-Force'!$A:$A, "&lt;="&amp;DATE($A52,12,31))</f>
        <v>4564</v>
      </c>
      <c r="H52">
        <f xml:space="preserve"> SUMIFS('Policies_In-Force'!H:H,'Policies_In-Force'!$A:$A, "&gt;="&amp;DATE($A52,1,1),'Policies_In-Force'!$A:$A, "&lt;="&amp;DATE($A52,12,31))</f>
        <v>4125</v>
      </c>
      <c r="I52">
        <f xml:space="preserve"> SUMIFS('Policies_In-Force'!I:I,'Policies_In-Force'!$A:$A, "&gt;="&amp;DATE($A52,1,1),'Policies_In-Force'!$A:$A, "&lt;="&amp;DATE($A52,12,31))</f>
        <v>3744</v>
      </c>
      <c r="J52">
        <f xml:space="preserve"> SUMIFS('Policies_In-Force'!J:J,'Policies_In-Force'!$A:$A, "&gt;="&amp;DATE($A52,1,1),'Policies_In-Force'!$A:$A, "&lt;="&amp;DATE($A52,12,31))</f>
        <v>3427</v>
      </c>
      <c r="K52">
        <f xml:space="preserve"> SUMIFS('Policies_In-Force'!K:K,'Policies_In-Force'!$A:$A, "&gt;="&amp;DATE($A52,1,1),'Policies_In-Force'!$A:$A, "&lt;="&amp;DATE($A52,12,31))</f>
        <v>3167</v>
      </c>
      <c r="L52">
        <f xml:space="preserve"> SUMIFS('Policies_In-Force'!L:L,'Policies_In-Force'!$A:$A, "&gt;="&amp;DATE($A52,1,1),'Policies_In-Force'!$A:$A, "&lt;="&amp;DATE($A52,12,31))</f>
        <v>2900</v>
      </c>
      <c r="M52">
        <f xml:space="preserve"> SUMIFS('Policies_In-Force'!M:M,'Policies_In-Force'!$A:$A, "&gt;="&amp;DATE($A52,1,1),'Policies_In-Force'!$A:$A, "&lt;="&amp;DATE($A52,12,31))</f>
        <v>2659</v>
      </c>
      <c r="N52">
        <f>SUMIFS('Policies_In-Force'!N:N, 'Policies_In-Force'!$A:$A, "&gt;="&amp;DATE($A52,1,1), 'Policies_In-Force'!$A:$A, "&lt;="&amp;DATE($A52,12,31))</f>
        <v>2466</v>
      </c>
      <c r="O52">
        <f>SUMIFS('Policies_In-Force'!O:O, 'Policies_In-Force'!$A:$A, "&gt;="&amp;DATE($A52,1,1), 'Policies_In-Force'!$A:$A, "&lt;="&amp;DATE($A52,12,31))</f>
        <v>1241</v>
      </c>
      <c r="P52">
        <f>SUMIFS('Policies_In-Force'!P:P, 'Policies_In-Force'!$A:$A, "&gt;="&amp;DATE($A52,1,1), 'Policies_In-Force'!$A:$A, "&lt;="&amp;DATE($A52,12,31))</f>
        <v>755</v>
      </c>
      <c r="Q52">
        <f>SUMIFS('Policies_In-Force'!Q:Q, 'Policies_In-Force'!$A:$A, "&gt;="&amp;DATE($A52,1,1), 'Policies_In-Force'!$A:$A, "&lt;="&amp;DATE($A52,12,31))</f>
        <v>534</v>
      </c>
      <c r="R52">
        <f>SUMIFS('Policies_In-Force'!R:R, 'Policies_In-Force'!$A:$A, "&gt;="&amp;DATE($A52,1,1), 'Policies_In-Force'!$A:$A, "&lt;="&amp;DATE($A52,12,31))</f>
        <v>439</v>
      </c>
      <c r="S52">
        <f>SUMIFS('Policies_In-Force'!S:S, 'Policies_In-Force'!$A:$A, "&gt;="&amp;DATE($A52,1,1), 'Policies_In-Force'!$A:$A, "&lt;="&amp;DATE($A52,12,31))</f>
        <v>439</v>
      </c>
      <c r="T52">
        <f>SUMIFS('Policies_In-Force'!T:T, 'Policies_In-Force'!$A:$A, "&gt;="&amp;DATE($A52,1,1), 'Policies_In-Force'!$A:$A, "&lt;="&amp;DATE($A52,12,31))</f>
        <v>439</v>
      </c>
      <c r="U52">
        <f>SUMIFS('Policies_In-Force'!U:U, 'Policies_In-Force'!$A:$A, "&gt;="&amp;DATE($A52,1,1), 'Policies_In-Force'!$A:$A, "&lt;="&amp;DATE($A52,12,31))</f>
        <v>439</v>
      </c>
      <c r="V52">
        <f>SUMIFS('Policies_In-Force'!V:V, 'Policies_In-Force'!$A:$A, "&gt;="&amp;DATE($A52,1,1), 'Policies_In-Force'!$A:$A, "&lt;="&amp;DATE($A52,12,31))</f>
        <v>439</v>
      </c>
      <c r="W52">
        <f>SUMIFS('Policies_In-Force'!W:W, 'Policies_In-Force'!$A:$A, "&gt;="&amp;DATE($A52,1,1), 'Policies_In-Force'!$A:$A, "&lt;="&amp;DATE($A52,12,31))</f>
        <v>439</v>
      </c>
    </row>
    <row r="53" spans="1:26" x14ac:dyDescent="0.35">
      <c r="A53" s="10">
        <v>2021</v>
      </c>
      <c r="B53">
        <f xml:space="preserve"> SUMIFS('Policies_In-Force'!B:B,'Policies_In-Force'!$A:$A, "&gt;="&amp;DATE($A53,1,1),'Policies_In-Force'!$A:$A, "&lt;="&amp;DATE($A53,12,31))</f>
        <v>2322</v>
      </c>
      <c r="C53">
        <f xml:space="preserve"> SUMIFS('Policies_In-Force'!C:C,'Policies_In-Force'!$A:$A, "&gt;="&amp;DATE($A53,1,1),'Policies_In-Force'!$A:$A, "&lt;="&amp;DATE($A53,12,31))</f>
        <v>2064</v>
      </c>
      <c r="D53">
        <f xml:space="preserve"> SUMIFS('Policies_In-Force'!D:D,'Policies_In-Force'!$A:$A, "&gt;="&amp;DATE($A53,1,1),'Policies_In-Force'!$A:$A, "&lt;="&amp;DATE($A53,12,31))</f>
        <v>1864</v>
      </c>
      <c r="E53">
        <f xml:space="preserve"> SUMIFS('Policies_In-Force'!E:E,'Policies_In-Force'!$A:$A, "&gt;="&amp;DATE($A53,1,1),'Policies_In-Force'!$A:$A, "&lt;="&amp;DATE($A53,12,31))</f>
        <v>1521</v>
      </c>
      <c r="F53">
        <f xml:space="preserve"> SUMIFS('Policies_In-Force'!F:F,'Policies_In-Force'!$A:$A, "&gt;="&amp;DATE($A53,1,1),'Policies_In-Force'!$A:$A, "&lt;="&amp;DATE($A53,12,31))</f>
        <v>1388</v>
      </c>
      <c r="G53">
        <f xml:space="preserve"> SUMIFS('Policies_In-Force'!G:G,'Policies_In-Force'!$A:$A, "&gt;="&amp;DATE($A53,1,1),'Policies_In-Force'!$A:$A, "&lt;="&amp;DATE($A53,12,31))</f>
        <v>1256</v>
      </c>
      <c r="H53">
        <f xml:space="preserve"> SUMIFS('Policies_In-Force'!H:H,'Policies_In-Force'!$A:$A, "&gt;="&amp;DATE($A53,1,1),'Policies_In-Force'!$A:$A, "&lt;="&amp;DATE($A53,12,31))</f>
        <v>1143</v>
      </c>
      <c r="I53">
        <f xml:space="preserve"> SUMIFS('Policies_In-Force'!I:I,'Policies_In-Force'!$A:$A, "&gt;="&amp;DATE($A53,1,1),'Policies_In-Force'!$A:$A, "&lt;="&amp;DATE($A53,12,31))</f>
        <v>1049</v>
      </c>
      <c r="J53">
        <f xml:space="preserve"> SUMIFS('Policies_In-Force'!J:J,'Policies_In-Force'!$A:$A, "&gt;="&amp;DATE($A53,1,1),'Policies_In-Force'!$A:$A, "&lt;="&amp;DATE($A53,12,31))</f>
        <v>966</v>
      </c>
      <c r="K53">
        <f xml:space="preserve"> SUMIFS('Policies_In-Force'!K:K,'Policies_In-Force'!$A:$A, "&gt;="&amp;DATE($A53,1,1),'Policies_In-Force'!$A:$A, "&lt;="&amp;DATE($A53,12,31))</f>
        <v>878</v>
      </c>
      <c r="L53">
        <f xml:space="preserve"> SUMIFS('Policies_In-Force'!L:L,'Policies_In-Force'!$A:$A, "&gt;="&amp;DATE($A53,1,1),'Policies_In-Force'!$A:$A, "&lt;="&amp;DATE($A53,12,31))</f>
        <v>813</v>
      </c>
      <c r="M53">
        <f xml:space="preserve"> SUMIFS('Policies_In-Force'!M:M,'Policies_In-Force'!$A:$A, "&gt;="&amp;DATE($A53,1,1),'Policies_In-Force'!$A:$A, "&lt;="&amp;DATE($A53,12,31))</f>
        <v>738</v>
      </c>
      <c r="N53">
        <f>SUMIFS('Policies_In-Force'!N:N, 'Policies_In-Force'!$A:$A, "&gt;="&amp;DATE($A53,1,1), 'Policies_In-Force'!$A:$A, "&lt;="&amp;DATE($A53,12,31))</f>
        <v>687</v>
      </c>
      <c r="O53">
        <f>SUMIFS('Policies_In-Force'!O:O, 'Policies_In-Force'!$A:$A, "&gt;="&amp;DATE($A53,1,1), 'Policies_In-Force'!$A:$A, "&lt;="&amp;DATE($A53,12,31))</f>
        <v>332</v>
      </c>
      <c r="P53">
        <f>SUMIFS('Policies_In-Force'!P:P, 'Policies_In-Force'!$A:$A, "&gt;="&amp;DATE($A53,1,1), 'Policies_In-Force'!$A:$A, "&lt;="&amp;DATE($A53,12,31))</f>
        <v>177</v>
      </c>
      <c r="Q53">
        <f>SUMIFS('Policies_In-Force'!Q:Q, 'Policies_In-Force'!$A:$A, "&gt;="&amp;DATE($A53,1,1), 'Policies_In-Force'!$A:$A, "&lt;="&amp;DATE($A53,12,31))</f>
        <v>126</v>
      </c>
      <c r="R53">
        <f>SUMIFS('Policies_In-Force'!R:R, 'Policies_In-Force'!$A:$A, "&gt;="&amp;DATE($A53,1,1), 'Policies_In-Force'!$A:$A, "&lt;="&amp;DATE($A53,12,31))</f>
        <v>126</v>
      </c>
      <c r="S53">
        <f>SUMIFS('Policies_In-Force'!S:S, 'Policies_In-Force'!$A:$A, "&gt;="&amp;DATE($A53,1,1), 'Policies_In-Force'!$A:$A, "&lt;="&amp;DATE($A53,12,31))</f>
        <v>126</v>
      </c>
      <c r="T53">
        <f>SUMIFS('Policies_In-Force'!T:T, 'Policies_In-Force'!$A:$A, "&gt;="&amp;DATE($A53,1,1), 'Policies_In-Force'!$A:$A, "&lt;="&amp;DATE($A53,12,31))</f>
        <v>126</v>
      </c>
      <c r="U53">
        <f>SUMIFS('Policies_In-Force'!U:U, 'Policies_In-Force'!$A:$A, "&gt;="&amp;DATE($A53,1,1), 'Policies_In-Force'!$A:$A, "&lt;="&amp;DATE($A53,12,31))</f>
        <v>126</v>
      </c>
      <c r="V53">
        <f>SUMIFS('Policies_In-Force'!V:V, 'Policies_In-Force'!$A:$A, "&gt;="&amp;DATE($A53,1,1), 'Policies_In-Force'!$A:$A, "&lt;="&amp;DATE($A53,12,31))</f>
        <v>126</v>
      </c>
      <c r="W53">
        <f>SUMIFS('Policies_In-Force'!W:W, 'Policies_In-Force'!$A:$A, "&gt;="&amp;DATE($A53,1,1), 'Policies_In-Force'!$A:$A, "&lt;="&amp;DATE($A53,12,31))</f>
        <v>126</v>
      </c>
    </row>
    <row r="54" spans="1:26" x14ac:dyDescent="0.35">
      <c r="A54" s="10">
        <v>2022</v>
      </c>
      <c r="B54">
        <f xml:space="preserve"> SUMIFS('Policies_In-Force'!B:B,'Policies_In-Force'!$A:$A, "&gt;="&amp;DATE($A54,1,1),'Policies_In-Force'!$A:$A, "&lt;="&amp;DATE($A54,12,31))</f>
        <v>2767</v>
      </c>
      <c r="C54">
        <f xml:space="preserve"> SUMIFS('Policies_In-Force'!C:C,'Policies_In-Force'!$A:$A, "&gt;="&amp;DATE($A54,1,1),'Policies_In-Force'!$A:$A, "&lt;="&amp;DATE($A54,12,31))</f>
        <v>2498</v>
      </c>
      <c r="D54">
        <f xml:space="preserve"> SUMIFS('Policies_In-Force'!D:D,'Policies_In-Force'!$A:$A, "&gt;="&amp;DATE($A54,1,1),'Policies_In-Force'!$A:$A, "&lt;="&amp;DATE($A54,12,31))</f>
        <v>2250</v>
      </c>
      <c r="E54">
        <f xml:space="preserve"> SUMIFS('Policies_In-Force'!E:E,'Policies_In-Force'!$A:$A, "&gt;="&amp;DATE($A54,1,1),'Policies_In-Force'!$A:$A, "&lt;="&amp;DATE($A54,12,31))</f>
        <v>2029</v>
      </c>
      <c r="F54">
        <f xml:space="preserve"> SUMIFS('Policies_In-Force'!F:F,'Policies_In-Force'!$A:$A, "&gt;="&amp;DATE($A54,1,1),'Policies_In-Force'!$A:$A, "&lt;="&amp;DATE($A54,12,31))</f>
        <v>1869</v>
      </c>
      <c r="G54">
        <f xml:space="preserve"> SUMIFS('Policies_In-Force'!G:G,'Policies_In-Force'!$A:$A, "&gt;="&amp;DATE($A54,1,1),'Policies_In-Force'!$A:$A, "&lt;="&amp;DATE($A54,12,31))</f>
        <v>1738</v>
      </c>
      <c r="H54">
        <f xml:space="preserve"> SUMIFS('Policies_In-Force'!H:H,'Policies_In-Force'!$A:$A, "&gt;="&amp;DATE($A54,1,1),'Policies_In-Force'!$A:$A, "&lt;="&amp;DATE($A54,12,31))</f>
        <v>1631</v>
      </c>
      <c r="I54">
        <f xml:space="preserve"> SUMIFS('Policies_In-Force'!I:I,'Policies_In-Force'!$A:$A, "&gt;="&amp;DATE($A54,1,1),'Policies_In-Force'!$A:$A, "&lt;="&amp;DATE($A54,12,31))</f>
        <v>1520</v>
      </c>
      <c r="J54">
        <f xml:space="preserve"> SUMIFS('Policies_In-Force'!J:J,'Policies_In-Force'!$A:$A, "&gt;="&amp;DATE($A54,1,1),'Policies_In-Force'!$A:$A, "&lt;="&amp;DATE($A54,12,31))</f>
        <v>1419</v>
      </c>
      <c r="K54">
        <f xml:space="preserve"> SUMIFS('Policies_In-Force'!K:K,'Policies_In-Force'!$A:$A, "&gt;="&amp;DATE($A54,1,1),'Policies_In-Force'!$A:$A, "&lt;="&amp;DATE($A54,12,31))</f>
        <v>1333</v>
      </c>
      <c r="L54">
        <f xml:space="preserve"> SUMIFS('Policies_In-Force'!L:L,'Policies_In-Force'!$A:$A, "&gt;="&amp;DATE($A54,1,1),'Policies_In-Force'!$A:$A, "&lt;="&amp;DATE($A54,12,31))</f>
        <v>1245</v>
      </c>
      <c r="M54">
        <f xml:space="preserve"> SUMIFS('Policies_In-Force'!M:M,'Policies_In-Force'!$A:$A, "&gt;="&amp;DATE($A54,1,1),'Policies_In-Force'!$A:$A, "&lt;="&amp;DATE($A54,12,31))</f>
        <v>1170</v>
      </c>
      <c r="N54">
        <f>SUMIFS('Policies_In-Force'!N:N, 'Policies_In-Force'!$A:$A, "&gt;="&amp;DATE($A54,1,1), 'Policies_In-Force'!$A:$A, "&lt;="&amp;DATE($A54,12,31))</f>
        <v>1084</v>
      </c>
      <c r="O54">
        <f>SUMIFS('Policies_In-Force'!O:O, 'Policies_In-Force'!$A:$A, "&gt;="&amp;DATE($A54,1,1), 'Policies_In-Force'!$A:$A, "&lt;="&amp;DATE($A54,12,31))</f>
        <v>642</v>
      </c>
      <c r="P54">
        <f>SUMIFS('Policies_In-Force'!P:P, 'Policies_In-Force'!$A:$A, "&gt;="&amp;DATE($A54,1,1), 'Policies_In-Force'!$A:$A, "&lt;="&amp;DATE($A54,12,31))</f>
        <v>533</v>
      </c>
      <c r="Q54">
        <f>SUMIFS('Policies_In-Force'!Q:Q, 'Policies_In-Force'!$A:$A, "&gt;="&amp;DATE($A54,1,1), 'Policies_In-Force'!$A:$A, "&lt;="&amp;DATE($A54,12,31))</f>
        <v>533</v>
      </c>
      <c r="R54">
        <f>SUMIFS('Policies_In-Force'!R:R, 'Policies_In-Force'!$A:$A, "&gt;="&amp;DATE($A54,1,1), 'Policies_In-Force'!$A:$A, "&lt;="&amp;DATE($A54,12,31))</f>
        <v>533</v>
      </c>
      <c r="S54">
        <f>SUMIFS('Policies_In-Force'!S:S, 'Policies_In-Force'!$A:$A, "&gt;="&amp;DATE($A54,1,1), 'Policies_In-Force'!$A:$A, "&lt;="&amp;DATE($A54,12,31))</f>
        <v>533</v>
      </c>
      <c r="T54">
        <f>SUMIFS('Policies_In-Force'!T:T, 'Policies_In-Force'!$A:$A, "&gt;="&amp;DATE($A54,1,1), 'Policies_In-Force'!$A:$A, "&lt;="&amp;DATE($A54,12,31))</f>
        <v>533</v>
      </c>
      <c r="U54">
        <f>SUMIFS('Policies_In-Force'!U:U, 'Policies_In-Force'!$A:$A, "&gt;="&amp;DATE($A54,1,1), 'Policies_In-Force'!$A:$A, "&lt;="&amp;DATE($A54,12,31))</f>
        <v>533</v>
      </c>
      <c r="V54">
        <f>SUMIFS('Policies_In-Force'!V:V, 'Policies_In-Force'!$A:$A, "&gt;="&amp;DATE($A54,1,1), 'Policies_In-Force'!$A:$A, "&lt;="&amp;DATE($A54,12,31))</f>
        <v>533</v>
      </c>
      <c r="W54">
        <f>SUMIFS('Policies_In-Force'!W:W, 'Policies_In-Force'!$A:$A, "&gt;="&amp;DATE($A54,1,1), 'Policies_In-Force'!$A:$A, "&lt;="&amp;DATE($A54,12,31))</f>
        <v>533</v>
      </c>
    </row>
    <row r="55" spans="1:26" x14ac:dyDescent="0.35">
      <c r="A55" s="10">
        <v>2023</v>
      </c>
      <c r="B55">
        <f xml:space="preserve"> SUMIFS('Policies_In-Force'!B:B,'Policies_In-Force'!$A:$A, "&gt;="&amp;DATE($A55,1,1),'Policies_In-Force'!$A:$A, "&lt;="&amp;DATE($A55,12,31))</f>
        <v>3373</v>
      </c>
      <c r="C55">
        <f xml:space="preserve"> SUMIFS('Policies_In-Force'!C:C,'Policies_In-Force'!$A:$A, "&gt;="&amp;DATE($A55,1,1),'Policies_In-Force'!$A:$A, "&lt;="&amp;DATE($A55,12,31))</f>
        <v>2830</v>
      </c>
      <c r="D55">
        <f xml:space="preserve"> SUMIFS('Policies_In-Force'!D:D,'Policies_In-Force'!$A:$A, "&gt;="&amp;DATE($A55,1,1),'Policies_In-Force'!$A:$A, "&lt;="&amp;DATE($A55,12,31))</f>
        <v>2446</v>
      </c>
      <c r="E55">
        <f xml:space="preserve"> SUMIFS('Policies_In-Force'!E:E,'Policies_In-Force'!$A:$A, "&gt;="&amp;DATE($A55,1,1),'Policies_In-Force'!$A:$A, "&lt;="&amp;DATE($A55,12,31))</f>
        <v>2080</v>
      </c>
      <c r="F55">
        <f xml:space="preserve"> SUMIFS('Policies_In-Force'!F:F,'Policies_In-Force'!$A:$A, "&gt;="&amp;DATE($A55,1,1),'Policies_In-Force'!$A:$A, "&lt;="&amp;DATE($A55,12,31))</f>
        <v>1858</v>
      </c>
      <c r="G55">
        <f xml:space="preserve"> SUMIFS('Policies_In-Force'!G:G,'Policies_In-Force'!$A:$A, "&gt;="&amp;DATE($A55,1,1),'Policies_In-Force'!$A:$A, "&lt;="&amp;DATE($A55,12,31))</f>
        <v>1700</v>
      </c>
      <c r="H55">
        <f xml:space="preserve"> SUMIFS('Policies_In-Force'!H:H,'Policies_In-Force'!$A:$A, "&gt;="&amp;DATE($A55,1,1),'Policies_In-Force'!$A:$A, "&lt;="&amp;DATE($A55,12,31))</f>
        <v>1576</v>
      </c>
      <c r="I55">
        <f xml:space="preserve"> SUMIFS('Policies_In-Force'!I:I,'Policies_In-Force'!$A:$A, "&gt;="&amp;DATE($A55,1,1),'Policies_In-Force'!$A:$A, "&lt;="&amp;DATE($A55,12,31))</f>
        <v>1474</v>
      </c>
      <c r="J55">
        <f xml:space="preserve"> SUMIFS('Policies_In-Force'!J:J,'Policies_In-Force'!$A:$A, "&gt;="&amp;DATE($A55,1,1),'Policies_In-Force'!$A:$A, "&lt;="&amp;DATE($A55,12,31))</f>
        <v>1391</v>
      </c>
      <c r="K55">
        <f xml:space="preserve"> SUMIFS('Policies_In-Force'!K:K,'Policies_In-Force'!$A:$A, "&gt;="&amp;DATE($A55,1,1),'Policies_In-Force'!$A:$A, "&lt;="&amp;DATE($A55,12,31))</f>
        <v>1296</v>
      </c>
      <c r="L55">
        <f xml:space="preserve"> SUMIFS('Policies_In-Force'!L:L,'Policies_In-Force'!$A:$A, "&gt;="&amp;DATE($A55,1,1),'Policies_In-Force'!$A:$A, "&lt;="&amp;DATE($A55,12,31))</f>
        <v>1230</v>
      </c>
      <c r="M55">
        <f xml:space="preserve"> SUMIFS('Policies_In-Force'!M:M,'Policies_In-Force'!$A:$A, "&gt;="&amp;DATE($A55,1,1),'Policies_In-Force'!$A:$A, "&lt;="&amp;DATE($A55,12,31))</f>
        <v>1159</v>
      </c>
      <c r="N55">
        <f>SUMIFS('Policies_In-Force'!N:N, 'Policies_In-Force'!$A:$A, "&gt;="&amp;DATE($A55,1,1), 'Policies_In-Force'!$A:$A, "&lt;="&amp;DATE($A55,12,31))</f>
        <v>1090</v>
      </c>
      <c r="O55">
        <f>SUMIFS('Policies_In-Force'!O:O, 'Policies_In-Force'!$A:$A, "&gt;="&amp;DATE($A55,1,1), 'Policies_In-Force'!$A:$A, "&lt;="&amp;DATE($A55,12,31))</f>
        <v>841</v>
      </c>
      <c r="P55">
        <f>SUMIFS('Policies_In-Force'!P:P, 'Policies_In-Force'!$A:$A, "&gt;="&amp;DATE($A55,1,1), 'Policies_In-Force'!$A:$A, "&lt;="&amp;DATE($A55,12,31))</f>
        <v>841</v>
      </c>
      <c r="Q55">
        <f>SUMIFS('Policies_In-Force'!Q:Q, 'Policies_In-Force'!$A:$A, "&gt;="&amp;DATE($A55,1,1), 'Policies_In-Force'!$A:$A, "&lt;="&amp;DATE($A55,12,31))</f>
        <v>841</v>
      </c>
      <c r="R55">
        <f>SUMIFS('Policies_In-Force'!R:R, 'Policies_In-Force'!$A:$A, "&gt;="&amp;DATE($A55,1,1), 'Policies_In-Force'!$A:$A, "&lt;="&amp;DATE($A55,12,31))</f>
        <v>841</v>
      </c>
      <c r="S55">
        <f>SUMIFS('Policies_In-Force'!S:S, 'Policies_In-Force'!$A:$A, "&gt;="&amp;DATE($A55,1,1), 'Policies_In-Force'!$A:$A, "&lt;="&amp;DATE($A55,12,31))</f>
        <v>841</v>
      </c>
      <c r="T55">
        <f>SUMIFS('Policies_In-Force'!T:T, 'Policies_In-Force'!$A:$A, "&gt;="&amp;DATE($A55,1,1), 'Policies_In-Force'!$A:$A, "&lt;="&amp;DATE($A55,12,31))</f>
        <v>841</v>
      </c>
      <c r="U55">
        <f>SUMIFS('Policies_In-Force'!U:U, 'Policies_In-Force'!$A:$A, "&gt;="&amp;DATE($A55,1,1), 'Policies_In-Force'!$A:$A, "&lt;="&amp;DATE($A55,12,31))</f>
        <v>841</v>
      </c>
      <c r="V55">
        <f>SUMIFS('Policies_In-Force'!V:V, 'Policies_In-Force'!$A:$A, "&gt;="&amp;DATE($A55,1,1), 'Policies_In-Force'!$A:$A, "&lt;="&amp;DATE($A55,12,31))</f>
        <v>841</v>
      </c>
      <c r="W55">
        <f>SUMIFS('Policies_In-Force'!W:W, 'Policies_In-Force'!$A:$A, "&gt;="&amp;DATE($A55,1,1), 'Policies_In-Force'!$A:$A, "&lt;="&amp;DATE($A55,12,31))</f>
        <v>841</v>
      </c>
      <c r="Z55" s="26" t="s">
        <v>331</v>
      </c>
    </row>
    <row r="56" spans="1:26" ht="15" thickBot="1" x14ac:dyDescent="0.4">
      <c r="A56" s="12">
        <v>2024</v>
      </c>
      <c r="B56">
        <f xml:space="preserve"> SUMIFS('Policies_In-Force'!B:B,'Policies_In-Force'!$A:$A, "&gt;="&amp;DATE($A56,1,1),'Policies_In-Force'!$A:$A, "&lt;="&amp;DATE($A56,12,31))</f>
        <v>1931</v>
      </c>
      <c r="C56">
        <f xml:space="preserve"> SUMIFS('Policies_In-Force'!C:C,'Policies_In-Force'!$A:$A, "&gt;="&amp;DATE($A56,1,1),'Policies_In-Force'!$A:$A, "&lt;="&amp;DATE($A56,12,31))</f>
        <v>1719</v>
      </c>
      <c r="D56">
        <f xml:space="preserve"> SUMIFS('Policies_In-Force'!D:D,'Policies_In-Force'!$A:$A, "&gt;="&amp;DATE($A56,1,1),'Policies_In-Force'!$A:$A, "&lt;="&amp;DATE($A56,12,31))</f>
        <v>1632</v>
      </c>
      <c r="E56">
        <f xml:space="preserve"> SUMIFS('Policies_In-Force'!E:E,'Policies_In-Force'!$A:$A, "&gt;="&amp;DATE($A56,1,1),'Policies_In-Force'!$A:$A, "&lt;="&amp;DATE($A56,12,31))</f>
        <v>1528</v>
      </c>
      <c r="F56">
        <f xml:space="preserve"> SUMIFS('Policies_In-Force'!F:F,'Policies_In-Force'!$A:$A, "&gt;="&amp;DATE($A56,1,1),'Policies_In-Force'!$A:$A, "&lt;="&amp;DATE($A56,12,31))</f>
        <v>1471</v>
      </c>
      <c r="G56">
        <f xml:space="preserve"> SUMIFS('Policies_In-Force'!G:G,'Policies_In-Force'!$A:$A, "&gt;="&amp;DATE($A56,1,1),'Policies_In-Force'!$A:$A, "&lt;="&amp;DATE($A56,12,31))</f>
        <v>1423</v>
      </c>
      <c r="H56">
        <f xml:space="preserve"> SUMIFS('Policies_In-Force'!H:H,'Policies_In-Force'!$A:$A, "&gt;="&amp;DATE($A56,1,1),'Policies_In-Force'!$A:$A, "&lt;="&amp;DATE($A56,12,31))</f>
        <v>1390</v>
      </c>
      <c r="I56">
        <f xml:space="preserve"> SUMIFS('Policies_In-Force'!I:I,'Policies_In-Force'!$A:$A, "&gt;="&amp;DATE($A56,1,1),'Policies_In-Force'!$A:$A, "&lt;="&amp;DATE($A56,12,31))</f>
        <v>1371</v>
      </c>
      <c r="J56">
        <f xml:space="preserve"> SUMIFS('Policies_In-Force'!J:J,'Policies_In-Force'!$A:$A, "&gt;="&amp;DATE($A56,1,1),'Policies_In-Force'!$A:$A, "&lt;="&amp;DATE($A56,12,31))</f>
        <v>1358</v>
      </c>
      <c r="K56">
        <f xml:space="preserve"> SUMIFS('Policies_In-Force'!K:K,'Policies_In-Force'!$A:$A, "&gt;="&amp;DATE($A56,1,1),'Policies_In-Force'!$A:$A, "&lt;="&amp;DATE($A56,12,31))</f>
        <v>1355</v>
      </c>
      <c r="L56">
        <f xml:space="preserve"> SUMIFS('Policies_In-Force'!L:L,'Policies_In-Force'!$A:$A, "&gt;="&amp;DATE($A56,1,1),'Policies_In-Force'!$A:$A, "&lt;="&amp;DATE($A56,12,31))</f>
        <v>1351</v>
      </c>
      <c r="M56">
        <f xml:space="preserve"> SUMIFS('Policies_In-Force'!M:M,'Policies_In-Force'!$A:$A, "&gt;="&amp;DATE($A56,1,1),'Policies_In-Force'!$A:$A, "&lt;="&amp;DATE($A56,12,31))</f>
        <v>1347</v>
      </c>
      <c r="N56">
        <f>SUMIFS('Policies_In-Force'!N:N, 'Policies_In-Force'!$A:$A, "&gt;="&amp;DATE($A56,1,1), 'Policies_In-Force'!$A:$A, "&lt;="&amp;DATE($A56,12,31))</f>
        <v>1346</v>
      </c>
      <c r="O56">
        <f>SUMIFS('Policies_In-Force'!O:O, 'Policies_In-Force'!$A:$A, "&gt;="&amp;DATE($A56,1,1), 'Policies_In-Force'!$A:$A, "&lt;="&amp;DATE($A56,12,31))</f>
        <v>1346</v>
      </c>
      <c r="P56">
        <f>SUMIFS('Policies_In-Force'!P:P, 'Policies_In-Force'!$A:$A, "&gt;="&amp;DATE($A56,1,1), 'Policies_In-Force'!$A:$A, "&lt;="&amp;DATE($A56,12,31))</f>
        <v>1346</v>
      </c>
      <c r="Q56">
        <f>SUMIFS('Policies_In-Force'!Q:Q, 'Policies_In-Force'!$A:$A, "&gt;="&amp;DATE($A56,1,1), 'Policies_In-Force'!$A:$A, "&lt;="&amp;DATE($A56,12,31))</f>
        <v>1346</v>
      </c>
      <c r="R56">
        <f>SUMIFS('Policies_In-Force'!R:R, 'Policies_In-Force'!$A:$A, "&gt;="&amp;DATE($A56,1,1), 'Policies_In-Force'!$A:$A, "&lt;="&amp;DATE($A56,12,31))</f>
        <v>1346</v>
      </c>
      <c r="S56">
        <f>SUMIFS('Policies_In-Force'!S:S, 'Policies_In-Force'!$A:$A, "&gt;="&amp;DATE($A56,1,1), 'Policies_In-Force'!$A:$A, "&lt;="&amp;DATE($A56,12,31))</f>
        <v>1346</v>
      </c>
      <c r="T56">
        <f>SUMIFS('Policies_In-Force'!T:T, 'Policies_In-Force'!$A:$A, "&gt;="&amp;DATE($A56,1,1), 'Policies_In-Force'!$A:$A, "&lt;="&amp;DATE($A56,12,31))</f>
        <v>1346</v>
      </c>
      <c r="U56">
        <f>SUMIFS('Policies_In-Force'!U:U, 'Policies_In-Force'!$A:$A, "&gt;="&amp;DATE($A56,1,1), 'Policies_In-Force'!$A:$A, "&lt;="&amp;DATE($A56,12,31))</f>
        <v>1346</v>
      </c>
      <c r="V56">
        <f>SUMIFS('Policies_In-Force'!V:V, 'Policies_In-Force'!$A:$A, "&gt;="&amp;DATE($A56,1,1), 'Policies_In-Force'!$A:$A, "&lt;="&amp;DATE($A56,12,31))</f>
        <v>1346</v>
      </c>
      <c r="W56">
        <f>SUMIFS('Policies_In-Force'!W:W, 'Policies_In-Force'!$A:$A, "&gt;="&amp;DATE($A56,1,1), 'Policies_In-Force'!$A:$A, "&lt;="&amp;DATE($A56,12,31))</f>
        <v>1346</v>
      </c>
    </row>
    <row r="58" spans="1:26" x14ac:dyDescent="0.35">
      <c r="A58" s="8" t="s">
        <v>4</v>
      </c>
      <c r="G58" s="27" t="s">
        <v>333</v>
      </c>
    </row>
    <row r="59" spans="1:26" x14ac:dyDescent="0.35">
      <c r="A59" s="10" t="s">
        <v>1</v>
      </c>
      <c r="B59" s="10" t="s">
        <v>18</v>
      </c>
      <c r="C59" s="10" t="s">
        <v>19</v>
      </c>
      <c r="D59" s="10" t="s">
        <v>20</v>
      </c>
      <c r="E59" s="10" t="s">
        <v>21</v>
      </c>
      <c r="F59" s="10" t="s">
        <v>22</v>
      </c>
      <c r="G59" s="10" t="s">
        <v>23</v>
      </c>
      <c r="H59" s="10" t="s">
        <v>24</v>
      </c>
      <c r="I59" s="10" t="s">
        <v>25</v>
      </c>
      <c r="J59" s="10" t="s">
        <v>26</v>
      </c>
      <c r="K59" s="10" t="s">
        <v>27</v>
      </c>
      <c r="L59" s="10" t="s">
        <v>28</v>
      </c>
      <c r="M59" s="10" t="s">
        <v>29</v>
      </c>
      <c r="N59" s="10" t="s">
        <v>30</v>
      </c>
      <c r="O59" s="10" t="s">
        <v>31</v>
      </c>
      <c r="P59" s="10" t="s">
        <v>32</v>
      </c>
      <c r="Q59" s="10" t="s">
        <v>33</v>
      </c>
      <c r="R59" s="10" t="s">
        <v>34</v>
      </c>
      <c r="S59" s="10" t="s">
        <v>35</v>
      </c>
      <c r="T59" s="10" t="s">
        <v>36</v>
      </c>
      <c r="U59" s="10" t="s">
        <v>37</v>
      </c>
      <c r="V59" s="11" t="s">
        <v>38</v>
      </c>
    </row>
    <row r="60" spans="1:26" x14ac:dyDescent="0.35">
      <c r="A60" s="10">
        <v>2015</v>
      </c>
      <c r="B60">
        <f>0.5*B47 - 0.5*(B34 + B21)</f>
        <v>5529.5</v>
      </c>
      <c r="C60">
        <f>C47 - 0.5*(C34 + C21)</f>
        <v>10547.5</v>
      </c>
      <c r="D60">
        <f t="shared" ref="D60:M60" si="9">D47 - 0.5*(D34 + D21)</f>
        <v>9719.5</v>
      </c>
      <c r="E60">
        <f t="shared" si="9"/>
        <v>9043.5</v>
      </c>
      <c r="F60">
        <f t="shared" si="9"/>
        <v>8417</v>
      </c>
      <c r="G60">
        <f t="shared" si="9"/>
        <v>7911</v>
      </c>
      <c r="H60">
        <f t="shared" si="9"/>
        <v>7474</v>
      </c>
      <c r="I60">
        <f t="shared" si="9"/>
        <v>7097.5</v>
      </c>
      <c r="J60">
        <f t="shared" si="9"/>
        <v>6750.5</v>
      </c>
      <c r="K60">
        <f t="shared" si="9"/>
        <v>6446</v>
      </c>
      <c r="L60">
        <f t="shared" si="9"/>
        <v>6194.5</v>
      </c>
      <c r="M60">
        <f t="shared" si="9"/>
        <v>5959</v>
      </c>
      <c r="N60">
        <f>N47 -0.5*(N34 + N21)</f>
        <v>4885.5</v>
      </c>
      <c r="O60">
        <f t="shared" ref="O60:V60" si="10">O47 -0.5*(O34 + O21)</f>
        <v>3450.5</v>
      </c>
      <c r="P60">
        <f t="shared" si="10"/>
        <v>2647</v>
      </c>
      <c r="Q60">
        <f t="shared" si="10"/>
        <v>2130.5</v>
      </c>
      <c r="R60">
        <f t="shared" si="10"/>
        <v>1757.5</v>
      </c>
      <c r="S60">
        <f t="shared" si="10"/>
        <v>1486.5</v>
      </c>
      <c r="T60">
        <f t="shared" si="10"/>
        <v>1280</v>
      </c>
      <c r="U60">
        <f t="shared" si="10"/>
        <v>1123.5</v>
      </c>
      <c r="V60">
        <f t="shared" si="10"/>
        <v>1041</v>
      </c>
    </row>
    <row r="61" spans="1:26" x14ac:dyDescent="0.35">
      <c r="A61" s="10">
        <v>2016</v>
      </c>
      <c r="B61">
        <f t="shared" ref="B61:B69" si="11">0.5*B48 - 0.5*(B35 + B22)</f>
        <v>4329.5</v>
      </c>
      <c r="C61">
        <f t="shared" ref="C61:M69" si="12">C48 - 0.5*(C35 + C22)</f>
        <v>8213</v>
      </c>
      <c r="D61">
        <f t="shared" si="12"/>
        <v>7453.5</v>
      </c>
      <c r="E61">
        <f t="shared" si="12"/>
        <v>6848.5</v>
      </c>
      <c r="F61">
        <f t="shared" si="12"/>
        <v>6347</v>
      </c>
      <c r="G61">
        <f t="shared" si="12"/>
        <v>5947</v>
      </c>
      <c r="H61">
        <f t="shared" si="12"/>
        <v>5579.5</v>
      </c>
      <c r="I61">
        <f t="shared" si="12"/>
        <v>5266.5</v>
      </c>
      <c r="J61">
        <f t="shared" si="12"/>
        <v>5016.5</v>
      </c>
      <c r="K61">
        <f t="shared" si="12"/>
        <v>4792</v>
      </c>
      <c r="L61">
        <f t="shared" si="12"/>
        <v>4574.5</v>
      </c>
      <c r="M61">
        <f t="shared" si="12"/>
        <v>4372</v>
      </c>
      <c r="N61">
        <f t="shared" ref="N61:V69" si="13">N48 -0.5*(N35 + N22)</f>
        <v>3601.5</v>
      </c>
      <c r="O61">
        <f t="shared" si="13"/>
        <v>2569.5</v>
      </c>
      <c r="P61">
        <f t="shared" si="13"/>
        <v>1989</v>
      </c>
      <c r="Q61">
        <f t="shared" si="13"/>
        <v>1620</v>
      </c>
      <c r="R61">
        <f t="shared" si="13"/>
        <v>1317.5</v>
      </c>
      <c r="S61">
        <f t="shared" si="13"/>
        <v>1123.5</v>
      </c>
      <c r="T61">
        <f t="shared" si="13"/>
        <v>970.5</v>
      </c>
      <c r="U61">
        <f t="shared" si="13"/>
        <v>890</v>
      </c>
      <c r="V61">
        <f t="shared" si="13"/>
        <v>849</v>
      </c>
    </row>
    <row r="62" spans="1:26" x14ac:dyDescent="0.35">
      <c r="A62" s="10">
        <v>2017</v>
      </c>
      <c r="B62">
        <f t="shared" si="11"/>
        <v>5809</v>
      </c>
      <c r="C62">
        <f t="shared" si="12"/>
        <v>10941</v>
      </c>
      <c r="D62">
        <f t="shared" si="12"/>
        <v>9706.5</v>
      </c>
      <c r="E62">
        <f t="shared" si="12"/>
        <v>8682.5</v>
      </c>
      <c r="F62">
        <f t="shared" si="12"/>
        <v>7922</v>
      </c>
      <c r="G62">
        <f t="shared" si="12"/>
        <v>7390</v>
      </c>
      <c r="H62">
        <f t="shared" si="12"/>
        <v>6936.5</v>
      </c>
      <c r="I62">
        <f t="shared" si="12"/>
        <v>6538</v>
      </c>
      <c r="J62">
        <f t="shared" si="12"/>
        <v>6201</v>
      </c>
      <c r="K62">
        <f t="shared" si="12"/>
        <v>5879</v>
      </c>
      <c r="L62">
        <f t="shared" si="12"/>
        <v>5549.5</v>
      </c>
      <c r="M62">
        <f t="shared" si="12"/>
        <v>5252</v>
      </c>
      <c r="N62">
        <f t="shared" si="13"/>
        <v>4132</v>
      </c>
      <c r="O62">
        <f t="shared" si="13"/>
        <v>2692.5</v>
      </c>
      <c r="P62">
        <f t="shared" si="13"/>
        <v>1978.5</v>
      </c>
      <c r="Q62">
        <f t="shared" si="13"/>
        <v>1547.5</v>
      </c>
      <c r="R62">
        <f t="shared" si="13"/>
        <v>1264</v>
      </c>
      <c r="S62">
        <f t="shared" si="13"/>
        <v>1038</v>
      </c>
      <c r="T62">
        <f t="shared" si="13"/>
        <v>920</v>
      </c>
      <c r="U62">
        <f t="shared" si="13"/>
        <v>871</v>
      </c>
      <c r="V62">
        <f t="shared" si="13"/>
        <v>871</v>
      </c>
    </row>
    <row r="63" spans="1:26" x14ac:dyDescent="0.35">
      <c r="A63" s="10">
        <v>2018</v>
      </c>
      <c r="B63">
        <f t="shared" si="11"/>
        <v>6985.5</v>
      </c>
      <c r="C63">
        <f t="shared" si="12"/>
        <v>12891.5</v>
      </c>
      <c r="D63">
        <f t="shared" si="12"/>
        <v>11042</v>
      </c>
      <c r="E63">
        <f t="shared" si="12"/>
        <v>9733.5</v>
      </c>
      <c r="F63">
        <f t="shared" si="12"/>
        <v>8843.5</v>
      </c>
      <c r="G63">
        <f t="shared" si="12"/>
        <v>8156.5</v>
      </c>
      <c r="H63">
        <f t="shared" si="12"/>
        <v>7548</v>
      </c>
      <c r="I63">
        <f t="shared" si="12"/>
        <v>7021</v>
      </c>
      <c r="J63">
        <f t="shared" si="12"/>
        <v>6558.5</v>
      </c>
      <c r="K63">
        <f t="shared" si="12"/>
        <v>6157.5</v>
      </c>
      <c r="L63">
        <f t="shared" si="12"/>
        <v>5788.5</v>
      </c>
      <c r="M63">
        <f t="shared" si="12"/>
        <v>5440</v>
      </c>
      <c r="N63">
        <f t="shared" si="13"/>
        <v>4148</v>
      </c>
      <c r="O63">
        <f t="shared" si="13"/>
        <v>2561.5</v>
      </c>
      <c r="P63">
        <f t="shared" si="13"/>
        <v>1800.5</v>
      </c>
      <c r="Q63">
        <f t="shared" si="13"/>
        <v>1344</v>
      </c>
      <c r="R63">
        <f t="shared" si="13"/>
        <v>1048</v>
      </c>
      <c r="S63">
        <f t="shared" si="13"/>
        <v>877.5</v>
      </c>
      <c r="T63">
        <f t="shared" si="13"/>
        <v>823</v>
      </c>
      <c r="U63">
        <f t="shared" si="13"/>
        <v>823</v>
      </c>
      <c r="V63">
        <f t="shared" si="13"/>
        <v>823</v>
      </c>
    </row>
    <row r="64" spans="1:26" x14ac:dyDescent="0.35">
      <c r="A64" s="10">
        <v>2019</v>
      </c>
      <c r="B64">
        <f t="shared" si="11"/>
        <v>4879</v>
      </c>
      <c r="C64">
        <f t="shared" si="12"/>
        <v>9003</v>
      </c>
      <c r="D64">
        <f t="shared" si="12"/>
        <v>7545</v>
      </c>
      <c r="E64">
        <f t="shared" si="12"/>
        <v>6459</v>
      </c>
      <c r="F64">
        <f t="shared" si="12"/>
        <v>5829</v>
      </c>
      <c r="G64">
        <f t="shared" si="12"/>
        <v>5334.5</v>
      </c>
      <c r="H64">
        <f t="shared" si="12"/>
        <v>4894.5</v>
      </c>
      <c r="I64">
        <f t="shared" si="12"/>
        <v>4542.5</v>
      </c>
      <c r="J64">
        <f t="shared" si="12"/>
        <v>4237.5</v>
      </c>
      <c r="K64">
        <f t="shared" si="12"/>
        <v>3951.5</v>
      </c>
      <c r="L64">
        <f t="shared" si="12"/>
        <v>3700</v>
      </c>
      <c r="M64">
        <f t="shared" si="12"/>
        <v>3462.5</v>
      </c>
      <c r="N64">
        <f t="shared" si="13"/>
        <v>2563</v>
      </c>
      <c r="O64">
        <f t="shared" si="13"/>
        <v>1442.5</v>
      </c>
      <c r="P64">
        <f t="shared" si="13"/>
        <v>916.5</v>
      </c>
      <c r="Q64">
        <f t="shared" si="13"/>
        <v>621</v>
      </c>
      <c r="R64">
        <f t="shared" si="13"/>
        <v>474</v>
      </c>
      <c r="S64">
        <f t="shared" si="13"/>
        <v>418</v>
      </c>
      <c r="T64">
        <f t="shared" si="13"/>
        <v>418</v>
      </c>
      <c r="U64">
        <f t="shared" si="13"/>
        <v>418</v>
      </c>
      <c r="V64">
        <f t="shared" si="13"/>
        <v>418</v>
      </c>
    </row>
    <row r="65" spans="1:22" x14ac:dyDescent="0.35">
      <c r="A65" s="10">
        <v>2020</v>
      </c>
      <c r="B65">
        <f t="shared" si="11"/>
        <v>3746</v>
      </c>
      <c r="C65">
        <f t="shared" si="12"/>
        <v>6900.5</v>
      </c>
      <c r="D65">
        <f t="shared" si="12"/>
        <v>5888.5</v>
      </c>
      <c r="E65">
        <f t="shared" si="12"/>
        <v>5217</v>
      </c>
      <c r="F65">
        <f t="shared" si="12"/>
        <v>4765</v>
      </c>
      <c r="G65">
        <f t="shared" si="12"/>
        <v>4344.5</v>
      </c>
      <c r="H65">
        <f t="shared" si="12"/>
        <v>3934.5</v>
      </c>
      <c r="I65">
        <f t="shared" si="12"/>
        <v>3585.5</v>
      </c>
      <c r="J65">
        <f t="shared" si="12"/>
        <v>3297</v>
      </c>
      <c r="K65">
        <f t="shared" si="12"/>
        <v>3033.5</v>
      </c>
      <c r="L65">
        <f t="shared" si="12"/>
        <v>2779.5</v>
      </c>
      <c r="M65">
        <f t="shared" si="12"/>
        <v>2562.5</v>
      </c>
      <c r="N65">
        <f t="shared" si="13"/>
        <v>1853.5</v>
      </c>
      <c r="O65">
        <f t="shared" si="13"/>
        <v>998</v>
      </c>
      <c r="P65">
        <f t="shared" si="13"/>
        <v>644.5</v>
      </c>
      <c r="Q65">
        <f t="shared" si="13"/>
        <v>502</v>
      </c>
      <c r="R65">
        <f t="shared" si="13"/>
        <v>439</v>
      </c>
      <c r="S65">
        <f t="shared" si="13"/>
        <v>439</v>
      </c>
      <c r="T65">
        <f t="shared" si="13"/>
        <v>439</v>
      </c>
      <c r="U65">
        <f t="shared" si="13"/>
        <v>439</v>
      </c>
      <c r="V65">
        <f t="shared" si="13"/>
        <v>439</v>
      </c>
    </row>
    <row r="66" spans="1:22" x14ac:dyDescent="0.35">
      <c r="A66" s="10">
        <v>2021</v>
      </c>
      <c r="B66">
        <f t="shared" si="11"/>
        <v>1032</v>
      </c>
      <c r="C66">
        <f t="shared" si="12"/>
        <v>1964</v>
      </c>
      <c r="D66">
        <f t="shared" si="12"/>
        <v>1692.5</v>
      </c>
      <c r="E66">
        <f t="shared" si="12"/>
        <v>1454.5</v>
      </c>
      <c r="F66">
        <f t="shared" si="12"/>
        <v>1322</v>
      </c>
      <c r="G66">
        <f t="shared" si="12"/>
        <v>1199.5</v>
      </c>
      <c r="H66">
        <f t="shared" si="12"/>
        <v>1096</v>
      </c>
      <c r="I66">
        <f t="shared" si="12"/>
        <v>1007.5</v>
      </c>
      <c r="J66">
        <f t="shared" si="12"/>
        <v>922</v>
      </c>
      <c r="K66">
        <f t="shared" si="12"/>
        <v>845.5</v>
      </c>
      <c r="L66">
        <f t="shared" si="12"/>
        <v>775.5</v>
      </c>
      <c r="M66">
        <f t="shared" si="12"/>
        <v>712.5</v>
      </c>
      <c r="N66">
        <f t="shared" si="13"/>
        <v>509.5</v>
      </c>
      <c r="O66">
        <f t="shared" si="13"/>
        <v>254.5</v>
      </c>
      <c r="P66">
        <f t="shared" si="13"/>
        <v>151.5</v>
      </c>
      <c r="Q66">
        <f t="shared" si="13"/>
        <v>126</v>
      </c>
      <c r="R66">
        <f t="shared" si="13"/>
        <v>126</v>
      </c>
      <c r="S66">
        <f t="shared" si="13"/>
        <v>126</v>
      </c>
      <c r="T66">
        <f t="shared" si="13"/>
        <v>126</v>
      </c>
      <c r="U66">
        <f t="shared" si="13"/>
        <v>126</v>
      </c>
      <c r="V66">
        <f t="shared" si="13"/>
        <v>126</v>
      </c>
    </row>
    <row r="67" spans="1:22" x14ac:dyDescent="0.35">
      <c r="A67" s="10">
        <v>2022</v>
      </c>
      <c r="B67">
        <f t="shared" si="11"/>
        <v>1249</v>
      </c>
      <c r="C67">
        <f t="shared" si="12"/>
        <v>2374</v>
      </c>
      <c r="D67">
        <f t="shared" si="12"/>
        <v>2139.5</v>
      </c>
      <c r="E67">
        <f t="shared" si="12"/>
        <v>1949</v>
      </c>
      <c r="F67">
        <f t="shared" si="12"/>
        <v>1803.5</v>
      </c>
      <c r="G67">
        <f t="shared" si="12"/>
        <v>1684.5</v>
      </c>
      <c r="H67">
        <f t="shared" si="12"/>
        <v>1575.5</v>
      </c>
      <c r="I67">
        <f t="shared" si="12"/>
        <v>1469.5</v>
      </c>
      <c r="J67">
        <f t="shared" si="12"/>
        <v>1376</v>
      </c>
      <c r="K67">
        <f t="shared" si="12"/>
        <v>1289</v>
      </c>
      <c r="L67">
        <f t="shared" si="12"/>
        <v>1207.5</v>
      </c>
      <c r="M67">
        <f t="shared" si="12"/>
        <v>1127</v>
      </c>
      <c r="N67">
        <f t="shared" si="13"/>
        <v>863</v>
      </c>
      <c r="O67">
        <f t="shared" si="13"/>
        <v>587.5</v>
      </c>
      <c r="P67">
        <f t="shared" si="13"/>
        <v>533</v>
      </c>
      <c r="Q67">
        <f t="shared" si="13"/>
        <v>533</v>
      </c>
      <c r="R67">
        <f t="shared" si="13"/>
        <v>533</v>
      </c>
      <c r="S67">
        <f t="shared" si="13"/>
        <v>533</v>
      </c>
      <c r="T67">
        <f t="shared" si="13"/>
        <v>533</v>
      </c>
      <c r="U67">
        <f t="shared" si="13"/>
        <v>533</v>
      </c>
      <c r="V67">
        <f t="shared" si="13"/>
        <v>533</v>
      </c>
    </row>
    <row r="68" spans="1:22" x14ac:dyDescent="0.35">
      <c r="A68" s="10">
        <v>2023</v>
      </c>
      <c r="B68">
        <f t="shared" si="11"/>
        <v>1415</v>
      </c>
      <c r="C68">
        <f t="shared" si="12"/>
        <v>2638</v>
      </c>
      <c r="D68">
        <f t="shared" si="12"/>
        <v>2263</v>
      </c>
      <c r="E68">
        <f t="shared" si="12"/>
        <v>1969</v>
      </c>
      <c r="F68">
        <f t="shared" si="12"/>
        <v>1779</v>
      </c>
      <c r="G68">
        <f t="shared" si="12"/>
        <v>1638</v>
      </c>
      <c r="H68">
        <f t="shared" si="12"/>
        <v>1525</v>
      </c>
      <c r="I68">
        <f t="shared" si="12"/>
        <v>1432.5</v>
      </c>
      <c r="J68">
        <f t="shared" si="12"/>
        <v>1343.5</v>
      </c>
      <c r="K68">
        <f t="shared" si="12"/>
        <v>1263</v>
      </c>
      <c r="L68">
        <f t="shared" si="12"/>
        <v>1194.5</v>
      </c>
      <c r="M68">
        <f t="shared" si="12"/>
        <v>1124.5</v>
      </c>
      <c r="N68">
        <f t="shared" si="13"/>
        <v>965.5</v>
      </c>
      <c r="O68">
        <f t="shared" si="13"/>
        <v>841</v>
      </c>
      <c r="P68">
        <f t="shared" si="13"/>
        <v>841</v>
      </c>
      <c r="Q68">
        <f t="shared" si="13"/>
        <v>841</v>
      </c>
      <c r="R68">
        <f t="shared" si="13"/>
        <v>841</v>
      </c>
      <c r="S68">
        <f t="shared" si="13"/>
        <v>841</v>
      </c>
      <c r="T68">
        <f t="shared" si="13"/>
        <v>841</v>
      </c>
      <c r="U68">
        <f t="shared" si="13"/>
        <v>841</v>
      </c>
      <c r="V68">
        <f t="shared" si="13"/>
        <v>841</v>
      </c>
    </row>
    <row r="69" spans="1:22" ht="15" thickBot="1" x14ac:dyDescent="0.4">
      <c r="A69" s="12">
        <v>2024</v>
      </c>
      <c r="B69">
        <f t="shared" si="11"/>
        <v>859.5</v>
      </c>
      <c r="C69">
        <f t="shared" si="12"/>
        <v>1675.5</v>
      </c>
      <c r="D69">
        <f t="shared" si="12"/>
        <v>1580</v>
      </c>
      <c r="E69">
        <f t="shared" si="12"/>
        <v>1499.5</v>
      </c>
      <c r="F69">
        <f t="shared" si="12"/>
        <v>1447</v>
      </c>
      <c r="G69">
        <f t="shared" si="12"/>
        <v>1406.5</v>
      </c>
      <c r="H69">
        <f t="shared" si="12"/>
        <v>1380.5</v>
      </c>
      <c r="I69">
        <f t="shared" si="12"/>
        <v>1364.5</v>
      </c>
      <c r="J69">
        <f t="shared" si="12"/>
        <v>1356.5</v>
      </c>
      <c r="K69">
        <f t="shared" si="12"/>
        <v>1353</v>
      </c>
      <c r="L69">
        <f t="shared" si="12"/>
        <v>1349</v>
      </c>
      <c r="M69">
        <f t="shared" si="12"/>
        <v>1346.5</v>
      </c>
      <c r="N69">
        <f t="shared" si="13"/>
        <v>1346</v>
      </c>
      <c r="O69">
        <f t="shared" si="13"/>
        <v>1346</v>
      </c>
      <c r="P69">
        <f t="shared" si="13"/>
        <v>1346</v>
      </c>
      <c r="Q69">
        <f t="shared" si="13"/>
        <v>1346</v>
      </c>
      <c r="R69">
        <f t="shared" si="13"/>
        <v>1346</v>
      </c>
      <c r="S69">
        <f t="shared" si="13"/>
        <v>1346</v>
      </c>
      <c r="T69">
        <f t="shared" si="13"/>
        <v>1346</v>
      </c>
      <c r="U69">
        <f t="shared" si="13"/>
        <v>1346</v>
      </c>
      <c r="V69">
        <f t="shared" si="13"/>
        <v>1346</v>
      </c>
    </row>
    <row r="71" spans="1:22" x14ac:dyDescent="0.35">
      <c r="A71" s="8" t="s">
        <v>3</v>
      </c>
    </row>
    <row r="72" spans="1:22" x14ac:dyDescent="0.35">
      <c r="A72" s="10" t="s">
        <v>1</v>
      </c>
      <c r="B72" s="10" t="s">
        <v>18</v>
      </c>
      <c r="C72" s="10" t="s">
        <v>19</v>
      </c>
      <c r="D72" s="10" t="s">
        <v>20</v>
      </c>
      <c r="E72" s="10" t="s">
        <v>21</v>
      </c>
      <c r="F72" s="10" t="s">
        <v>22</v>
      </c>
      <c r="G72" s="10" t="s">
        <v>23</v>
      </c>
      <c r="H72" s="10" t="s">
        <v>24</v>
      </c>
      <c r="I72" s="10" t="s">
        <v>25</v>
      </c>
      <c r="J72" s="10" t="s">
        <v>26</v>
      </c>
      <c r="K72" s="10" t="s">
        <v>27</v>
      </c>
      <c r="L72" s="10" t="s">
        <v>28</v>
      </c>
      <c r="M72" s="10" t="s">
        <v>29</v>
      </c>
      <c r="N72" s="10" t="s">
        <v>30</v>
      </c>
      <c r="O72" s="10" t="s">
        <v>31</v>
      </c>
      <c r="P72" s="10" t="s">
        <v>32</v>
      </c>
      <c r="Q72" s="10" t="s">
        <v>33</v>
      </c>
      <c r="R72" s="10" t="s">
        <v>34</v>
      </c>
      <c r="S72" s="10" t="s">
        <v>35</v>
      </c>
      <c r="T72" s="10" t="s">
        <v>36</v>
      </c>
      <c r="U72" s="10" t="s">
        <v>37</v>
      </c>
      <c r="V72" s="11" t="s">
        <v>38</v>
      </c>
    </row>
    <row r="73" spans="1:22" x14ac:dyDescent="0.35">
      <c r="A73" s="10">
        <v>2015</v>
      </c>
      <c r="B73">
        <f>B21/B60</f>
        <v>0.10778551406094583</v>
      </c>
      <c r="C73">
        <f>C21/C60</f>
        <v>9.6894998814885044E-2</v>
      </c>
      <c r="D73">
        <f t="shared" ref="D73:V73" si="14">D21/D60</f>
        <v>6.5023920983589695E-2</v>
      </c>
      <c r="E73">
        <f t="shared" si="14"/>
        <v>7.8730579974567366E-2</v>
      </c>
      <c r="F73">
        <f t="shared" si="14"/>
        <v>6.3324224783176911E-2</v>
      </c>
      <c r="G73">
        <f t="shared" si="14"/>
        <v>6.0422196940968273E-2</v>
      </c>
      <c r="H73">
        <f t="shared" si="14"/>
        <v>5.2849879582552849E-2</v>
      </c>
      <c r="I73">
        <f t="shared" si="14"/>
        <v>5.0017611835153221E-2</v>
      </c>
      <c r="J73">
        <f t="shared" si="14"/>
        <v>4.9774090808088291E-2</v>
      </c>
      <c r="K73">
        <f t="shared" si="14"/>
        <v>4.2196711138690661E-2</v>
      </c>
      <c r="L73">
        <f t="shared" si="14"/>
        <v>3.7291145370893536E-2</v>
      </c>
      <c r="M73">
        <f>M21/M60</f>
        <v>3.9939587179056886E-2</v>
      </c>
      <c r="N73">
        <f t="shared" si="14"/>
        <v>0.38931532084740561</v>
      </c>
      <c r="O73">
        <f t="shared" si="14"/>
        <v>0.27677148239385596</v>
      </c>
      <c r="P73">
        <f t="shared" si="14"/>
        <v>0.24064979221760482</v>
      </c>
      <c r="Q73">
        <f t="shared" si="14"/>
        <v>0.18164750058671672</v>
      </c>
      <c r="R73">
        <f t="shared" si="14"/>
        <v>0.16386913229018493</v>
      </c>
      <c r="S73">
        <f t="shared" si="14"/>
        <v>0.14463504877228389</v>
      </c>
      <c r="T73">
        <f t="shared" si="14"/>
        <v>0.12968750000000001</v>
      </c>
      <c r="U73">
        <f t="shared" si="14"/>
        <v>0.11748998664886515</v>
      </c>
      <c r="V73">
        <f t="shared" si="14"/>
        <v>3.5542747358309319E-2</v>
      </c>
    </row>
    <row r="74" spans="1:22" x14ac:dyDescent="0.35">
      <c r="A74" s="10">
        <v>2016</v>
      </c>
      <c r="B74">
        <f t="shared" ref="B74:Q82" si="15">B22/B61</f>
        <v>0.13142395195750087</v>
      </c>
      <c r="C74">
        <f t="shared" si="15"/>
        <v>0.10836478753196152</v>
      </c>
      <c r="D74">
        <f t="shared" si="15"/>
        <v>8.3719058160595689E-2</v>
      </c>
      <c r="E74">
        <f t="shared" si="15"/>
        <v>8.46900781192962E-2</v>
      </c>
      <c r="F74">
        <f t="shared" si="15"/>
        <v>6.5857885615251299E-2</v>
      </c>
      <c r="G74">
        <f t="shared" si="15"/>
        <v>6.3729611568858244E-2</v>
      </c>
      <c r="H74">
        <f t="shared" si="15"/>
        <v>6.3088090330674793E-2</v>
      </c>
      <c r="I74">
        <f t="shared" si="15"/>
        <v>5.0887686319187317E-2</v>
      </c>
      <c r="J74">
        <f t="shared" si="15"/>
        <v>4.5450014950662809E-2</v>
      </c>
      <c r="K74">
        <f t="shared" si="15"/>
        <v>4.570116861435726E-2</v>
      </c>
      <c r="L74">
        <f t="shared" si="15"/>
        <v>4.6781068969286257E-2</v>
      </c>
      <c r="M74">
        <f t="shared" si="15"/>
        <v>4.3229643183897527E-2</v>
      </c>
      <c r="N74">
        <f t="shared" si="15"/>
        <v>0.37262251839511312</v>
      </c>
      <c r="O74">
        <f t="shared" si="15"/>
        <v>0.27320490367775829</v>
      </c>
      <c r="P74">
        <f t="shared" si="15"/>
        <v>0.22423328305681248</v>
      </c>
      <c r="Q74">
        <f t="shared" si="15"/>
        <v>0.17530864197530865</v>
      </c>
      <c r="R74">
        <f t="shared" ref="R74:V74" si="16">R22/R61</f>
        <v>0.1791271347248577</v>
      </c>
      <c r="S74">
        <f t="shared" si="16"/>
        <v>0.13262127280818869</v>
      </c>
      <c r="T74">
        <f t="shared" si="16"/>
        <v>0.1226172076249356</v>
      </c>
      <c r="U74">
        <f t="shared" si="16"/>
        <v>4.3820224719101124E-2</v>
      </c>
      <c r="V74">
        <f t="shared" si="16"/>
        <v>0</v>
      </c>
    </row>
    <row r="75" spans="1:22" x14ac:dyDescent="0.35">
      <c r="A75" s="10">
        <v>2017</v>
      </c>
      <c r="B75">
        <f t="shared" si="15"/>
        <v>0.1415045618867275</v>
      </c>
      <c r="C75">
        <f t="shared" si="15"/>
        <v>0.12338908692075679</v>
      </c>
      <c r="D75">
        <f t="shared" si="15"/>
        <v>0.11445938288775563</v>
      </c>
      <c r="E75">
        <f t="shared" si="15"/>
        <v>0.10711200691045206</v>
      </c>
      <c r="F75">
        <f t="shared" si="15"/>
        <v>7.3844988639232514E-2</v>
      </c>
      <c r="G75">
        <f t="shared" si="15"/>
        <v>6.4005412719891741E-2</v>
      </c>
      <c r="H75">
        <f t="shared" si="15"/>
        <v>6.1990917609745552E-2</v>
      </c>
      <c r="I75">
        <f t="shared" si="15"/>
        <v>5.5674518201284794E-2</v>
      </c>
      <c r="J75">
        <f t="shared" si="15"/>
        <v>4.9508143847766486E-2</v>
      </c>
      <c r="K75">
        <f t="shared" si="15"/>
        <v>5.6982480013607756E-2</v>
      </c>
      <c r="L75">
        <f t="shared" si="15"/>
        <v>5.8023245337417782E-2</v>
      </c>
      <c r="M75">
        <f t="shared" si="15"/>
        <v>5.15993907083016E-2</v>
      </c>
      <c r="N75">
        <f t="shared" si="15"/>
        <v>0.46974830590513067</v>
      </c>
      <c r="O75">
        <f t="shared" si="15"/>
        <v>0.32943361188486536</v>
      </c>
      <c r="P75">
        <f t="shared" si="15"/>
        <v>0.25676017184735911</v>
      </c>
      <c r="Q75">
        <f t="shared" si="15"/>
        <v>0.21712439418416801</v>
      </c>
      <c r="R75">
        <f t="shared" ref="R75:V75" si="17">R23/R62</f>
        <v>0.17484177215189872</v>
      </c>
      <c r="S75">
        <f t="shared" si="17"/>
        <v>0.15221579961464354</v>
      </c>
      <c r="T75">
        <f t="shared" si="17"/>
        <v>4.1304347826086954E-2</v>
      </c>
      <c r="U75">
        <f t="shared" si="17"/>
        <v>0</v>
      </c>
      <c r="V75">
        <f t="shared" si="17"/>
        <v>0</v>
      </c>
    </row>
    <row r="76" spans="1:22" x14ac:dyDescent="0.35">
      <c r="A76" s="10">
        <v>2018</v>
      </c>
      <c r="B76">
        <f t="shared" si="15"/>
        <v>0.16763295397609335</v>
      </c>
      <c r="C76">
        <f t="shared" si="15"/>
        <v>0.16747469262692471</v>
      </c>
      <c r="D76">
        <f t="shared" si="15"/>
        <v>0.13856185473646079</v>
      </c>
      <c r="E76">
        <f t="shared" si="15"/>
        <v>0.10931319669183746</v>
      </c>
      <c r="F76">
        <f t="shared" si="15"/>
        <v>7.8023407022106639E-2</v>
      </c>
      <c r="G76">
        <f t="shared" si="15"/>
        <v>8.1407466437810341E-2</v>
      </c>
      <c r="H76">
        <f t="shared" si="15"/>
        <v>7.1277159512453628E-2</v>
      </c>
      <c r="I76">
        <f t="shared" si="15"/>
        <v>7.1784646061814561E-2</v>
      </c>
      <c r="J76">
        <f t="shared" si="15"/>
        <v>6.2209346649386293E-2</v>
      </c>
      <c r="K76">
        <f t="shared" si="15"/>
        <v>6.2038164839626472E-2</v>
      </c>
      <c r="L76">
        <f t="shared" si="15"/>
        <v>6.0291958192968814E-2</v>
      </c>
      <c r="M76">
        <f t="shared" si="15"/>
        <v>6.2316176470588236E-2</v>
      </c>
      <c r="N76">
        <f t="shared" si="15"/>
        <v>0.52579556412729023</v>
      </c>
      <c r="O76">
        <f t="shared" si="15"/>
        <v>0.34862385321100919</v>
      </c>
      <c r="P76">
        <f t="shared" si="15"/>
        <v>0.30380449875034715</v>
      </c>
      <c r="Q76">
        <f t="shared" si="15"/>
        <v>0.22619047619047619</v>
      </c>
      <c r="R76">
        <f t="shared" ref="R76:V76" si="18">R24/R63</f>
        <v>0.18416030534351144</v>
      </c>
      <c r="S76">
        <f t="shared" si="18"/>
        <v>6.1538461538461542E-2</v>
      </c>
      <c r="T76">
        <f t="shared" si="18"/>
        <v>0</v>
      </c>
      <c r="U76">
        <f t="shared" si="18"/>
        <v>0</v>
      </c>
      <c r="V76">
        <f t="shared" si="18"/>
        <v>0</v>
      </c>
    </row>
    <row r="77" spans="1:22" x14ac:dyDescent="0.35">
      <c r="A77" s="10">
        <v>2019</v>
      </c>
      <c r="B77">
        <f t="shared" si="15"/>
        <v>0.27649108423857349</v>
      </c>
      <c r="C77">
        <f t="shared" si="15"/>
        <v>0.16694435188270576</v>
      </c>
      <c r="D77">
        <f t="shared" si="15"/>
        <v>0.18515573227302851</v>
      </c>
      <c r="E77">
        <f t="shared" si="15"/>
        <v>0.11689115962223254</v>
      </c>
      <c r="F77">
        <f t="shared" si="15"/>
        <v>8.3376222336592892E-2</v>
      </c>
      <c r="G77">
        <f t="shared" si="15"/>
        <v>9.0917611772424786E-2</v>
      </c>
      <c r="H77">
        <f t="shared" si="15"/>
        <v>7.5186433752170809E-2</v>
      </c>
      <c r="I77">
        <f t="shared" si="15"/>
        <v>6.8684645019262525E-2</v>
      </c>
      <c r="J77">
        <f t="shared" si="15"/>
        <v>6.5604719764011804E-2</v>
      </c>
      <c r="K77">
        <f t="shared" si="15"/>
        <v>6.8581551309629257E-2</v>
      </c>
      <c r="L77">
        <f t="shared" si="15"/>
        <v>5.7837837837837837E-2</v>
      </c>
      <c r="M77">
        <f t="shared" si="15"/>
        <v>6.9891696750902524E-2</v>
      </c>
      <c r="N77">
        <f t="shared" si="15"/>
        <v>0.57354662504877096</v>
      </c>
      <c r="O77">
        <f t="shared" si="15"/>
        <v>0.4311958405545927</v>
      </c>
      <c r="P77">
        <f t="shared" si="15"/>
        <v>0.33824331696672122</v>
      </c>
      <c r="Q77">
        <f t="shared" si="15"/>
        <v>0.3172302737520129</v>
      </c>
      <c r="R77">
        <f t="shared" ref="R77:V77" si="19">R25/R64</f>
        <v>7.1729957805907171E-2</v>
      </c>
      <c r="S77">
        <f t="shared" si="19"/>
        <v>0</v>
      </c>
      <c r="T77">
        <f t="shared" si="19"/>
        <v>0</v>
      </c>
      <c r="U77">
        <f t="shared" si="19"/>
        <v>0</v>
      </c>
      <c r="V77">
        <f t="shared" si="19"/>
        <v>0</v>
      </c>
    </row>
    <row r="78" spans="1:22" x14ac:dyDescent="0.35">
      <c r="A78" s="10">
        <v>2020</v>
      </c>
      <c r="B78">
        <f t="shared" si="15"/>
        <v>0.19006940736785904</v>
      </c>
      <c r="C78">
        <f t="shared" si="15"/>
        <v>0.17056735019201508</v>
      </c>
      <c r="D78">
        <f t="shared" si="15"/>
        <v>0.1414621720302284</v>
      </c>
      <c r="E78">
        <f t="shared" si="15"/>
        <v>9.5073797201456769E-2</v>
      </c>
      <c r="F78">
        <f t="shared" si="15"/>
        <v>8.3525708289611755E-2</v>
      </c>
      <c r="G78">
        <f t="shared" si="15"/>
        <v>9.9205892507768442E-2</v>
      </c>
      <c r="H78">
        <f t="shared" si="15"/>
        <v>9.5056551023001645E-2</v>
      </c>
      <c r="I78">
        <f t="shared" si="15"/>
        <v>8.6738251289917731E-2</v>
      </c>
      <c r="J78">
        <f t="shared" si="15"/>
        <v>7.7343039126478622E-2</v>
      </c>
      <c r="K78">
        <f t="shared" si="15"/>
        <v>8.5050271963078947E-2</v>
      </c>
      <c r="L78">
        <f t="shared" si="15"/>
        <v>8.4907357438388203E-2</v>
      </c>
      <c r="M78">
        <f t="shared" si="15"/>
        <v>7.2975609756097556E-2</v>
      </c>
      <c r="N78">
        <f t="shared" si="15"/>
        <v>0.62800107903965474</v>
      </c>
      <c r="O78">
        <f t="shared" si="15"/>
        <v>0.44589178356713427</v>
      </c>
      <c r="P78">
        <f t="shared" si="15"/>
        <v>0.28238944918541503</v>
      </c>
      <c r="Q78">
        <f t="shared" si="15"/>
        <v>9.7609561752988044E-2</v>
      </c>
      <c r="R78">
        <f t="shared" ref="R78:V78" si="20">R26/R65</f>
        <v>0</v>
      </c>
      <c r="S78">
        <f t="shared" si="20"/>
        <v>0</v>
      </c>
      <c r="T78">
        <f t="shared" si="20"/>
        <v>0</v>
      </c>
      <c r="U78">
        <f t="shared" si="20"/>
        <v>0</v>
      </c>
      <c r="V78">
        <f t="shared" si="20"/>
        <v>0</v>
      </c>
    </row>
    <row r="79" spans="1:22" x14ac:dyDescent="0.35">
      <c r="A79" s="10">
        <v>2021</v>
      </c>
      <c r="B79">
        <f t="shared" si="15"/>
        <v>0.24127906976744187</v>
      </c>
      <c r="C79">
        <f t="shared" si="15"/>
        <v>9.9796334012219962E-2</v>
      </c>
      <c r="D79">
        <f t="shared" si="15"/>
        <v>0.19734121122599704</v>
      </c>
      <c r="E79">
        <f t="shared" si="15"/>
        <v>8.4565142660708151E-2</v>
      </c>
      <c r="F79">
        <f t="shared" si="15"/>
        <v>9.4553706505295002E-2</v>
      </c>
      <c r="G79">
        <f t="shared" si="15"/>
        <v>8.837015423092956E-2</v>
      </c>
      <c r="H79">
        <f t="shared" si="15"/>
        <v>8.0291970802919707E-2</v>
      </c>
      <c r="I79">
        <f t="shared" si="15"/>
        <v>7.4441687344913146E-2</v>
      </c>
      <c r="J79">
        <f t="shared" si="15"/>
        <v>9.0021691973969628E-2</v>
      </c>
      <c r="K79">
        <f t="shared" si="15"/>
        <v>6.9781194559432283E-2</v>
      </c>
      <c r="L79">
        <f t="shared" si="15"/>
        <v>8.6395873629916187E-2</v>
      </c>
      <c r="M79">
        <f t="shared" si="15"/>
        <v>6.8771929824561401E-2</v>
      </c>
      <c r="N79">
        <f t="shared" si="15"/>
        <v>0.61629048086359173</v>
      </c>
      <c r="O79">
        <f t="shared" si="15"/>
        <v>0.48330058939096265</v>
      </c>
      <c r="P79">
        <f t="shared" si="15"/>
        <v>0.23762376237623761</v>
      </c>
      <c r="Q79">
        <f t="shared" si="15"/>
        <v>0</v>
      </c>
      <c r="R79">
        <f t="shared" ref="R79:V79" si="21">R27/R66</f>
        <v>0</v>
      </c>
      <c r="S79">
        <f t="shared" si="21"/>
        <v>0</v>
      </c>
      <c r="T79">
        <f t="shared" si="21"/>
        <v>0</v>
      </c>
      <c r="U79">
        <f t="shared" si="21"/>
        <v>0</v>
      </c>
      <c r="V79">
        <f t="shared" si="21"/>
        <v>0</v>
      </c>
    </row>
    <row r="80" spans="1:22" x14ac:dyDescent="0.35">
      <c r="A80" s="10">
        <v>2022</v>
      </c>
      <c r="B80">
        <f t="shared" si="15"/>
        <v>0.20816653322658127</v>
      </c>
      <c r="C80">
        <f t="shared" si="15"/>
        <v>0.10109519797809605</v>
      </c>
      <c r="D80">
        <f t="shared" si="15"/>
        <v>9.8153774246319228E-2</v>
      </c>
      <c r="E80">
        <f t="shared" si="15"/>
        <v>7.7988712160082088E-2</v>
      </c>
      <c r="F80">
        <f t="shared" si="15"/>
        <v>7.0418630440809538E-2</v>
      </c>
      <c r="G80">
        <f t="shared" si="15"/>
        <v>6.0552092609082814E-2</v>
      </c>
      <c r="H80">
        <f t="shared" si="15"/>
        <v>6.60107902253253E-2</v>
      </c>
      <c r="I80">
        <f t="shared" si="15"/>
        <v>6.6689350119088123E-2</v>
      </c>
      <c r="J80">
        <f t="shared" si="15"/>
        <v>6.1773255813953487E-2</v>
      </c>
      <c r="K80">
        <f t="shared" si="15"/>
        <v>6.2839410395655548E-2</v>
      </c>
      <c r="L80">
        <f t="shared" si="15"/>
        <v>6.0455486542443065E-2</v>
      </c>
      <c r="M80">
        <f t="shared" si="15"/>
        <v>7.2759538598047915E-2</v>
      </c>
      <c r="N80">
        <f t="shared" si="15"/>
        <v>0.45654692931633833</v>
      </c>
      <c r="O80">
        <f t="shared" si="15"/>
        <v>0.14808510638297873</v>
      </c>
      <c r="P80">
        <f t="shared" si="15"/>
        <v>0</v>
      </c>
      <c r="Q80">
        <f t="shared" si="15"/>
        <v>0</v>
      </c>
      <c r="R80">
        <f t="shared" ref="R80:V80" si="22">R28/R67</f>
        <v>0</v>
      </c>
      <c r="S80">
        <f t="shared" si="22"/>
        <v>0</v>
      </c>
      <c r="T80">
        <f t="shared" si="22"/>
        <v>0</v>
      </c>
      <c r="U80">
        <f t="shared" si="22"/>
        <v>0</v>
      </c>
      <c r="V80">
        <f t="shared" si="22"/>
        <v>0</v>
      </c>
    </row>
    <row r="81" spans="1:23" x14ac:dyDescent="0.35">
      <c r="A81" s="10">
        <v>2023</v>
      </c>
      <c r="B81">
        <f t="shared" si="15"/>
        <v>0.37809187279151946</v>
      </c>
      <c r="C81">
        <f t="shared" si="15"/>
        <v>0.14404852160727824</v>
      </c>
      <c r="D81">
        <f t="shared" si="15"/>
        <v>0.15863897481219619</v>
      </c>
      <c r="E81">
        <f t="shared" si="15"/>
        <v>0.10970035551041138</v>
      </c>
      <c r="F81">
        <f t="shared" si="15"/>
        <v>8.5441259134345138E-2</v>
      </c>
      <c r="G81">
        <f t="shared" si="15"/>
        <v>6.95970695970696E-2</v>
      </c>
      <c r="H81">
        <f t="shared" si="15"/>
        <v>6.2295081967213117E-2</v>
      </c>
      <c r="I81">
        <f t="shared" si="15"/>
        <v>5.5148342059336823E-2</v>
      </c>
      <c r="J81">
        <f t="shared" si="15"/>
        <v>6.773353181987346E-2</v>
      </c>
      <c r="K81">
        <f t="shared" si="15"/>
        <v>5.1464766429136978E-2</v>
      </c>
      <c r="L81">
        <f t="shared" si="15"/>
        <v>5.6927584763499371E-2</v>
      </c>
      <c r="M81">
        <f t="shared" si="15"/>
        <v>5.6914184081814138E-2</v>
      </c>
      <c r="N81">
        <f t="shared" si="15"/>
        <v>0.22475401346452614</v>
      </c>
      <c r="O81">
        <f t="shared" si="15"/>
        <v>0</v>
      </c>
      <c r="P81">
        <f t="shared" si="15"/>
        <v>0</v>
      </c>
      <c r="Q81">
        <f t="shared" si="15"/>
        <v>0</v>
      </c>
      <c r="R81">
        <f t="shared" ref="R81:V81" si="23">R29/R68</f>
        <v>0</v>
      </c>
      <c r="S81">
        <f t="shared" si="23"/>
        <v>0</v>
      </c>
      <c r="T81">
        <f t="shared" si="23"/>
        <v>0</v>
      </c>
      <c r="U81">
        <f t="shared" si="23"/>
        <v>0</v>
      </c>
      <c r="V81">
        <f t="shared" si="23"/>
        <v>0</v>
      </c>
    </row>
    <row r="82" spans="1:23" ht="15" thickBot="1" x14ac:dyDescent="0.4">
      <c r="A82" s="12">
        <v>2024</v>
      </c>
      <c r="B82">
        <f t="shared" si="15"/>
        <v>0.24200116346713205</v>
      </c>
      <c r="C82">
        <f t="shared" si="15"/>
        <v>5.0134288272157566E-2</v>
      </c>
      <c r="D82">
        <f t="shared" si="15"/>
        <v>6.0759493670886074E-2</v>
      </c>
      <c r="E82">
        <f t="shared" si="15"/>
        <v>3.5345115038346114E-2</v>
      </c>
      <c r="F82">
        <f t="shared" si="15"/>
        <v>2.9025570145127851E-2</v>
      </c>
      <c r="G82">
        <f t="shared" si="15"/>
        <v>1.9907571987202274E-2</v>
      </c>
      <c r="H82">
        <f t="shared" si="15"/>
        <v>1.3763129300977906E-2</v>
      </c>
      <c r="I82">
        <f t="shared" si="15"/>
        <v>6.5958226456577498E-3</v>
      </c>
      <c r="J82">
        <f t="shared" si="15"/>
        <v>2.2115739034279398E-3</v>
      </c>
      <c r="K82">
        <f t="shared" si="15"/>
        <v>2.9563932002956393E-3</v>
      </c>
      <c r="L82">
        <f t="shared" si="15"/>
        <v>2.9651593773165306E-3</v>
      </c>
      <c r="M82">
        <f t="shared" si="15"/>
        <v>0</v>
      </c>
      <c r="N82">
        <f t="shared" si="15"/>
        <v>0</v>
      </c>
      <c r="O82">
        <f t="shared" si="15"/>
        <v>0</v>
      </c>
      <c r="P82">
        <f t="shared" si="15"/>
        <v>0</v>
      </c>
      <c r="Q82">
        <f t="shared" si="15"/>
        <v>0</v>
      </c>
      <c r="R82">
        <f t="shared" ref="R82:V82" si="24">R30/R69</f>
        <v>0</v>
      </c>
      <c r="S82">
        <f t="shared" si="24"/>
        <v>0</v>
      </c>
      <c r="T82">
        <f t="shared" si="24"/>
        <v>0</v>
      </c>
      <c r="U82">
        <f t="shared" si="24"/>
        <v>0</v>
      </c>
      <c r="V82">
        <f t="shared" si="24"/>
        <v>0</v>
      </c>
    </row>
    <row r="84" spans="1:23" ht="15" thickBot="1" x14ac:dyDescent="0.4">
      <c r="A84" s="8" t="s">
        <v>12</v>
      </c>
    </row>
    <row r="85" spans="1:23" x14ac:dyDescent="0.35">
      <c r="A85" s="13"/>
      <c r="B85" s="14" t="s">
        <v>18</v>
      </c>
      <c r="C85" s="14" t="s">
        <v>19</v>
      </c>
      <c r="D85" s="14" t="s">
        <v>20</v>
      </c>
      <c r="E85" s="14" t="s">
        <v>21</v>
      </c>
      <c r="F85" s="14" t="s">
        <v>22</v>
      </c>
      <c r="G85" s="14" t="s">
        <v>23</v>
      </c>
      <c r="H85" s="14" t="s">
        <v>24</v>
      </c>
      <c r="I85" s="14" t="s">
        <v>25</v>
      </c>
      <c r="J85" s="14" t="s">
        <v>26</v>
      </c>
      <c r="K85" s="14" t="s">
        <v>27</v>
      </c>
      <c r="L85" s="14" t="s">
        <v>28</v>
      </c>
      <c r="M85" s="14" t="s">
        <v>29</v>
      </c>
      <c r="N85" s="14" t="s">
        <v>30</v>
      </c>
      <c r="O85" s="14" t="s">
        <v>31</v>
      </c>
      <c r="P85" s="14" t="s">
        <v>32</v>
      </c>
      <c r="Q85" s="14" t="s">
        <v>33</v>
      </c>
      <c r="R85" s="14" t="s">
        <v>34</v>
      </c>
      <c r="S85" s="14" t="s">
        <v>35</v>
      </c>
      <c r="T85" s="14" t="s">
        <v>36</v>
      </c>
      <c r="U85" s="14" t="s">
        <v>37</v>
      </c>
      <c r="V85" s="15" t="s">
        <v>38</v>
      </c>
    </row>
    <row r="86" spans="1:23" ht="43.5" x14ac:dyDescent="0.35">
      <c r="A86" s="23" t="s">
        <v>13</v>
      </c>
      <c r="B86" s="9">
        <f>AVERAGE(B73:B82)</f>
        <v>0.20844461127403746</v>
      </c>
      <c r="C86" s="9">
        <f t="shared" ref="C86:V86" si="25">AVERAGE(C73:C82)</f>
        <v>0.12287096098390007</v>
      </c>
      <c r="D86" s="9">
        <f t="shared" si="25"/>
        <v>0.12432755750270572</v>
      </c>
      <c r="E86" s="9">
        <f t="shared" si="25"/>
        <v>8.9941014388939006E-2</v>
      </c>
      <c r="F86" s="9">
        <f t="shared" si="25"/>
        <v>7.2739160291154945E-2</v>
      </c>
      <c r="G86" s="9">
        <f t="shared" si="25"/>
        <v>6.9811508037200612E-2</v>
      </c>
      <c r="H86" s="9">
        <f t="shared" si="25"/>
        <v>6.4181000410703529E-2</v>
      </c>
      <c r="I86" s="9">
        <f t="shared" si="25"/>
        <v>5.8666256089561594E-2</v>
      </c>
      <c r="J86" s="9">
        <f t="shared" si="25"/>
        <v>5.7162940865761888E-2</v>
      </c>
      <c r="K86" s="9">
        <f t="shared" si="25"/>
        <v>5.4759211246351081E-2</v>
      </c>
      <c r="L86" s="9">
        <f t="shared" si="25"/>
        <v>5.5187671745996758E-2</v>
      </c>
      <c r="M86" s="9">
        <f t="shared" si="25"/>
        <v>5.3839775655326771E-2</v>
      </c>
      <c r="N86" s="9">
        <f t="shared" si="25"/>
        <v>0.42566208370078212</v>
      </c>
      <c r="O86" s="9">
        <f t="shared" si="25"/>
        <v>0.27365071710631572</v>
      </c>
      <c r="P86" s="9">
        <f t="shared" si="25"/>
        <v>0.18837042744004975</v>
      </c>
      <c r="Q86" s="9">
        <f t="shared" si="25"/>
        <v>0.12151108484416703</v>
      </c>
      <c r="R86" s="9">
        <f t="shared" si="25"/>
        <v>7.7372830231635992E-2</v>
      </c>
      <c r="S86" s="9">
        <f t="shared" si="25"/>
        <v>4.910105827335777E-2</v>
      </c>
      <c r="T86" s="9">
        <f t="shared" si="25"/>
        <v>2.9360905545102255E-2</v>
      </c>
      <c r="U86" s="9">
        <f t="shared" si="25"/>
        <v>1.6131021136796628E-2</v>
      </c>
      <c r="V86" s="9">
        <f t="shared" si="25"/>
        <v>3.5542747358309318E-3</v>
      </c>
    </row>
    <row r="87" spans="1:23" ht="43.5" x14ac:dyDescent="0.35">
      <c r="A87" s="23" t="s">
        <v>14</v>
      </c>
      <c r="B87" s="9">
        <f>AVERAGE(B78:B82)</f>
        <v>0.25192160932410673</v>
      </c>
      <c r="C87" s="9">
        <f t="shared" ref="C87:V87" si="26">AVERAGE(C78:C82)</f>
        <v>0.1131283384123534</v>
      </c>
      <c r="D87" s="9">
        <f t="shared" si="26"/>
        <v>0.13127112519712539</v>
      </c>
      <c r="E87" s="9">
        <f t="shared" si="26"/>
        <v>8.0534624514200903E-2</v>
      </c>
      <c r="F87" s="9">
        <f t="shared" si="26"/>
        <v>7.2592974903037857E-2</v>
      </c>
      <c r="G87" s="9">
        <f t="shared" si="26"/>
        <v>6.7526556186410541E-2</v>
      </c>
      <c r="H87" s="9">
        <f t="shared" si="26"/>
        <v>6.3483504663887538E-2</v>
      </c>
      <c r="I87" s="9">
        <f t="shared" si="26"/>
        <v>5.7922690691782706E-2</v>
      </c>
      <c r="J87" s="9">
        <f t="shared" si="26"/>
        <v>5.9816618527540631E-2</v>
      </c>
      <c r="K87" s="9">
        <f t="shared" si="26"/>
        <v>5.4418407309519877E-2</v>
      </c>
      <c r="L87" s="9">
        <f t="shared" si="26"/>
        <v>5.833029235031266E-2</v>
      </c>
      <c r="M87" s="9">
        <f t="shared" si="26"/>
        <v>5.4284252452104199E-2</v>
      </c>
      <c r="N87" s="9">
        <f t="shared" si="26"/>
        <v>0.38511850053682217</v>
      </c>
      <c r="O87" s="9">
        <f t="shared" si="26"/>
        <v>0.21545549586821511</v>
      </c>
      <c r="P87" s="9">
        <f t="shared" si="26"/>
        <v>0.10400264231233054</v>
      </c>
      <c r="Q87" s="9">
        <f>AVERAGE(Q78:Q82)</f>
        <v>1.9521912350597609E-2</v>
      </c>
      <c r="R87" s="9">
        <f t="shared" si="26"/>
        <v>0</v>
      </c>
      <c r="S87" s="9">
        <f t="shared" si="26"/>
        <v>0</v>
      </c>
      <c r="T87" s="9">
        <f t="shared" si="26"/>
        <v>0</v>
      </c>
      <c r="U87" s="9">
        <f t="shared" si="26"/>
        <v>0</v>
      </c>
      <c r="V87" s="9">
        <f t="shared" si="26"/>
        <v>0</v>
      </c>
    </row>
    <row r="88" spans="1:23" ht="44" thickBot="1" x14ac:dyDescent="0.4">
      <c r="A88" s="22" t="s">
        <v>15</v>
      </c>
      <c r="B88" s="17">
        <f>AVERAGE(B80:B82)</f>
        <v>0.27608652316174426</v>
      </c>
      <c r="C88" s="17">
        <f t="shared" ref="C88:V88" si="27">AVERAGE(C80:C82)</f>
        <v>9.8426002619177277E-2</v>
      </c>
      <c r="D88" s="17">
        <f t="shared" si="27"/>
        <v>0.10585074757646716</v>
      </c>
      <c r="E88" s="17">
        <f t="shared" si="27"/>
        <v>7.4344727569613203E-2</v>
      </c>
      <c r="F88" s="17">
        <f t="shared" si="27"/>
        <v>6.162848657342751E-2</v>
      </c>
      <c r="G88" s="17">
        <f t="shared" si="27"/>
        <v>5.0018911397784895E-2</v>
      </c>
      <c r="H88" s="17">
        <f t="shared" si="27"/>
        <v>4.7356333831172104E-2</v>
      </c>
      <c r="I88" s="17">
        <f t="shared" si="27"/>
        <v>4.2811171608027561E-2</v>
      </c>
      <c r="J88" s="17">
        <f t="shared" si="27"/>
        <v>4.3906120512418295E-2</v>
      </c>
      <c r="K88" s="17">
        <f t="shared" si="27"/>
        <v>3.908685667502939E-2</v>
      </c>
      <c r="L88" s="17">
        <f t="shared" si="27"/>
        <v>4.0116076894419657E-2</v>
      </c>
      <c r="M88" s="17">
        <f t="shared" si="27"/>
        <v>4.3224574226620682E-2</v>
      </c>
      <c r="N88" s="17">
        <f t="shared" si="27"/>
        <v>0.22710031426028818</v>
      </c>
      <c r="O88" s="17">
        <f t="shared" si="27"/>
        <v>4.9361702127659578E-2</v>
      </c>
      <c r="P88" s="17">
        <f t="shared" si="27"/>
        <v>0</v>
      </c>
      <c r="Q88" s="17">
        <f t="shared" si="27"/>
        <v>0</v>
      </c>
      <c r="R88" s="17">
        <f t="shared" si="27"/>
        <v>0</v>
      </c>
      <c r="S88" s="17">
        <f t="shared" si="27"/>
        <v>0</v>
      </c>
      <c r="T88" s="17">
        <f t="shared" si="27"/>
        <v>0</v>
      </c>
      <c r="U88" s="17">
        <f t="shared" si="27"/>
        <v>0</v>
      </c>
      <c r="V88" s="17">
        <f t="shared" si="27"/>
        <v>0</v>
      </c>
    </row>
    <row r="90" spans="1:23" ht="15" thickBot="1" x14ac:dyDescent="0.4">
      <c r="A90" s="8" t="s">
        <v>325</v>
      </c>
    </row>
    <row r="91" spans="1:23" ht="110.5" customHeight="1" thickBot="1" x14ac:dyDescent="0.4">
      <c r="A91" s="35" t="s">
        <v>335</v>
      </c>
      <c r="B91" s="33"/>
      <c r="C91" s="33"/>
      <c r="D91" s="33"/>
      <c r="E91" s="33"/>
      <c r="F91" s="33"/>
      <c r="G91" s="33"/>
      <c r="H91" s="34"/>
    </row>
    <row r="93" spans="1:23" ht="15" thickBot="1" x14ac:dyDescent="0.4">
      <c r="A93" s="8" t="s">
        <v>7</v>
      </c>
    </row>
    <row r="94" spans="1:23" x14ac:dyDescent="0.35">
      <c r="A94" s="13"/>
      <c r="B94" s="14" t="s">
        <v>18</v>
      </c>
      <c r="C94" s="14" t="s">
        <v>19</v>
      </c>
      <c r="D94" s="14" t="s">
        <v>20</v>
      </c>
      <c r="E94" s="14" t="s">
        <v>21</v>
      </c>
      <c r="F94" s="14" t="s">
        <v>22</v>
      </c>
      <c r="G94" s="14" t="s">
        <v>23</v>
      </c>
      <c r="H94" s="14" t="s">
        <v>24</v>
      </c>
      <c r="I94" s="14" t="s">
        <v>25</v>
      </c>
      <c r="J94" s="14" t="s">
        <v>26</v>
      </c>
      <c r="K94" s="14" t="s">
        <v>27</v>
      </c>
      <c r="L94" s="14" t="s">
        <v>28</v>
      </c>
      <c r="M94" s="14" t="s">
        <v>29</v>
      </c>
      <c r="N94" s="14" t="s">
        <v>30</v>
      </c>
      <c r="O94" s="14" t="s">
        <v>31</v>
      </c>
      <c r="P94" s="14" t="s">
        <v>32</v>
      </c>
      <c r="Q94" s="14" t="s">
        <v>33</v>
      </c>
      <c r="R94" s="14" t="s">
        <v>34</v>
      </c>
      <c r="S94" s="14" t="s">
        <v>35</v>
      </c>
      <c r="T94" s="14" t="s">
        <v>36</v>
      </c>
      <c r="U94" s="14" t="s">
        <v>37</v>
      </c>
      <c r="V94" s="15" t="s">
        <v>38</v>
      </c>
    </row>
    <row r="95" spans="1:23" ht="15" thickBot="1" x14ac:dyDescent="0.4">
      <c r="A95" s="16" t="s">
        <v>5</v>
      </c>
      <c r="B95" s="17">
        <f>AVERAGE(B73:B82)</f>
        <v>0.20844461127403746</v>
      </c>
      <c r="C95" s="17">
        <f t="shared" ref="C95:M95" si="28">AVERAGE(C73:C82)</f>
        <v>0.12287096098390007</v>
      </c>
      <c r="D95" s="17">
        <f t="shared" si="28"/>
        <v>0.12432755750270572</v>
      </c>
      <c r="E95" s="17">
        <f t="shared" si="28"/>
        <v>8.9941014388939006E-2</v>
      </c>
      <c r="F95" s="17">
        <f t="shared" si="28"/>
        <v>7.2739160291154945E-2</v>
      </c>
      <c r="G95" s="17">
        <f t="shared" si="28"/>
        <v>6.9811508037200612E-2</v>
      </c>
      <c r="H95" s="17">
        <f t="shared" si="28"/>
        <v>6.4181000410703529E-2</v>
      </c>
      <c r="I95" s="17">
        <f t="shared" si="28"/>
        <v>5.8666256089561594E-2</v>
      </c>
      <c r="J95" s="17">
        <f t="shared" si="28"/>
        <v>5.7162940865761888E-2</v>
      </c>
      <c r="K95" s="17">
        <f t="shared" si="28"/>
        <v>5.4759211246351081E-2</v>
      </c>
      <c r="L95" s="17">
        <f t="shared" si="28"/>
        <v>5.5187671745996758E-2</v>
      </c>
      <c r="M95" s="17">
        <f t="shared" si="28"/>
        <v>5.3839775655326771E-2</v>
      </c>
      <c r="N95" s="17">
        <f>AVERAGE(N73:N82)</f>
        <v>0.42566208370078212</v>
      </c>
      <c r="O95" s="17">
        <f t="shared" ref="O95:V95" si="29">AVERAGE(O73:O82)</f>
        <v>0.27365071710631572</v>
      </c>
      <c r="P95" s="17">
        <f t="shared" si="29"/>
        <v>0.18837042744004975</v>
      </c>
      <c r="Q95" s="17">
        <f t="shared" si="29"/>
        <v>0.12151108484416703</v>
      </c>
      <c r="R95" s="17">
        <f t="shared" si="29"/>
        <v>7.7372830231635992E-2</v>
      </c>
      <c r="S95" s="17">
        <f t="shared" si="29"/>
        <v>4.910105827335777E-2</v>
      </c>
      <c r="T95" s="17">
        <f t="shared" si="29"/>
        <v>2.9360905545102255E-2</v>
      </c>
      <c r="U95" s="17">
        <f t="shared" si="29"/>
        <v>1.6131021136796628E-2</v>
      </c>
      <c r="V95" s="17">
        <f t="shared" si="29"/>
        <v>3.5542747358309318E-3</v>
      </c>
      <c r="W95" s="9"/>
    </row>
    <row r="96" spans="1:23" x14ac:dyDescent="0.35">
      <c r="B96" s="9"/>
      <c r="C96" s="9"/>
      <c r="D96" s="9"/>
      <c r="E96" s="9"/>
      <c r="F96" s="9"/>
      <c r="G96" s="9"/>
      <c r="H96" s="9"/>
      <c r="I96" s="9"/>
      <c r="J96" s="9"/>
      <c r="K96" s="9"/>
      <c r="L96" s="9"/>
      <c r="M96" s="9"/>
      <c r="N96" s="9"/>
      <c r="O96" s="9"/>
      <c r="P96" s="9"/>
      <c r="Q96" s="9"/>
      <c r="R96" s="9"/>
      <c r="S96" s="9"/>
      <c r="T96" s="9"/>
      <c r="U96" s="9"/>
      <c r="V96" s="9"/>
      <c r="W96" s="9"/>
    </row>
    <row r="97" spans="1:125" ht="15" thickBot="1" x14ac:dyDescent="0.4">
      <c r="A97" s="8" t="s">
        <v>8</v>
      </c>
      <c r="B97" s="9"/>
      <c r="C97" s="9"/>
      <c r="D97" s="9"/>
      <c r="E97" s="9"/>
      <c r="F97" s="9"/>
      <c r="G97" s="9"/>
      <c r="H97" s="9"/>
      <c r="I97" s="9"/>
      <c r="J97" s="9"/>
      <c r="K97" s="9"/>
      <c r="L97" s="9"/>
      <c r="M97" s="9"/>
      <c r="N97" s="9"/>
      <c r="O97" s="9"/>
      <c r="P97" s="9"/>
      <c r="Q97" s="9"/>
      <c r="R97" s="9"/>
      <c r="S97" s="9"/>
      <c r="T97" s="9"/>
      <c r="U97" s="9"/>
      <c r="V97" s="9"/>
      <c r="W97" s="9"/>
    </row>
    <row r="98" spans="1:125" ht="29" x14ac:dyDescent="0.35">
      <c r="A98" s="13"/>
      <c r="B98" s="18" t="s">
        <v>18</v>
      </c>
      <c r="C98" s="18" t="s">
        <v>19</v>
      </c>
      <c r="D98" s="18" t="s">
        <v>20</v>
      </c>
      <c r="E98" s="18" t="s">
        <v>21</v>
      </c>
      <c r="F98" s="18" t="s">
        <v>22</v>
      </c>
      <c r="G98" s="18" t="s">
        <v>23</v>
      </c>
      <c r="H98" s="18" t="s">
        <v>24</v>
      </c>
      <c r="I98" s="18" t="s">
        <v>25</v>
      </c>
      <c r="J98" s="18" t="s">
        <v>26</v>
      </c>
      <c r="K98" s="18" t="s">
        <v>27</v>
      </c>
      <c r="L98" s="18" t="s">
        <v>28</v>
      </c>
      <c r="M98" s="18" t="s">
        <v>29</v>
      </c>
      <c r="N98" s="18" t="s">
        <v>148</v>
      </c>
      <c r="O98" s="18" t="s">
        <v>149</v>
      </c>
      <c r="P98" s="18" t="s">
        <v>150</v>
      </c>
      <c r="Q98" s="18" t="s">
        <v>151</v>
      </c>
      <c r="R98" s="18" t="s">
        <v>152</v>
      </c>
      <c r="S98" s="18" t="s">
        <v>153</v>
      </c>
      <c r="T98" s="18" t="s">
        <v>154</v>
      </c>
      <c r="U98" s="18" t="s">
        <v>155</v>
      </c>
      <c r="V98" s="19" t="s">
        <v>156</v>
      </c>
      <c r="W98" s="9"/>
    </row>
    <row r="99" spans="1:125" ht="15" thickBot="1" x14ac:dyDescent="0.4">
      <c r="A99" s="16" t="s">
        <v>6</v>
      </c>
      <c r="B99" s="17">
        <f>B95</f>
        <v>0.20844461127403746</v>
      </c>
      <c r="C99" s="17">
        <f t="shared" ref="C99:M99" si="30">C95</f>
        <v>0.12287096098390007</v>
      </c>
      <c r="D99" s="17">
        <f t="shared" si="30"/>
        <v>0.12432755750270572</v>
      </c>
      <c r="E99" s="17">
        <f t="shared" si="30"/>
        <v>8.9941014388939006E-2</v>
      </c>
      <c r="F99" s="17">
        <f t="shared" si="30"/>
        <v>7.2739160291154945E-2</v>
      </c>
      <c r="G99" s="17">
        <f t="shared" si="30"/>
        <v>6.9811508037200612E-2</v>
      </c>
      <c r="H99" s="17">
        <f t="shared" si="30"/>
        <v>6.4181000410703529E-2</v>
      </c>
      <c r="I99" s="17">
        <f t="shared" si="30"/>
        <v>5.8666256089561594E-2</v>
      </c>
      <c r="J99" s="17">
        <f t="shared" si="30"/>
        <v>5.7162940865761888E-2</v>
      </c>
      <c r="K99" s="17">
        <f t="shared" si="30"/>
        <v>5.4759211246351081E-2</v>
      </c>
      <c r="L99" s="17">
        <f t="shared" si="30"/>
        <v>5.5187671745996758E-2</v>
      </c>
      <c r="M99" s="17">
        <f t="shared" si="30"/>
        <v>5.3839775655326771E-2</v>
      </c>
      <c r="N99" s="17">
        <f>1-(1-N95)^(1/12)</f>
        <v>4.5159956226205944E-2</v>
      </c>
      <c r="O99" s="17">
        <f t="shared" ref="O99:V99" si="31">1-(1-O95)^(1/12)</f>
        <v>2.6291877845010636E-2</v>
      </c>
      <c r="P99" s="17">
        <f t="shared" si="31"/>
        <v>1.724222462928704E-2</v>
      </c>
      <c r="Q99" s="17">
        <f t="shared" si="31"/>
        <v>1.0737931468539519E-2</v>
      </c>
      <c r="R99" s="17">
        <f t="shared" si="31"/>
        <v>6.6883708747422776E-3</v>
      </c>
      <c r="S99" s="17">
        <f t="shared" si="31"/>
        <v>4.1868346126411327E-3</v>
      </c>
      <c r="T99" s="17">
        <f t="shared" si="31"/>
        <v>2.480299309936318E-3</v>
      </c>
      <c r="U99" s="17">
        <f t="shared" si="31"/>
        <v>1.3542939781864272E-3</v>
      </c>
      <c r="V99" s="17">
        <f t="shared" si="31"/>
        <v>2.9667316524284448E-4</v>
      </c>
      <c r="W99" s="9"/>
    </row>
    <row r="100" spans="1:125" x14ac:dyDescent="0.35">
      <c r="B100" s="9"/>
      <c r="C100" s="9"/>
      <c r="D100" s="9"/>
      <c r="E100" s="9"/>
      <c r="F100" s="9"/>
      <c r="G100" s="9"/>
      <c r="H100" s="9"/>
      <c r="I100" s="9"/>
      <c r="J100" s="9"/>
      <c r="K100" s="9"/>
      <c r="L100" s="9"/>
      <c r="M100" s="9"/>
      <c r="N100" s="9"/>
      <c r="O100" s="9"/>
      <c r="P100" s="9"/>
      <c r="Q100" s="9"/>
      <c r="R100" s="9"/>
      <c r="S100" s="9"/>
      <c r="T100" s="9"/>
      <c r="U100" s="9"/>
      <c r="V100" s="9"/>
    </row>
    <row r="101" spans="1:125" ht="15" thickBot="1" x14ac:dyDescent="0.4">
      <c r="A101" s="8" t="s">
        <v>9</v>
      </c>
      <c r="B101" s="9"/>
      <c r="C101" s="9"/>
      <c r="D101" s="9"/>
      <c r="E101" s="9"/>
      <c r="F101" s="9"/>
      <c r="G101" s="9"/>
      <c r="H101" s="9"/>
      <c r="I101" s="9"/>
      <c r="J101" s="9"/>
      <c r="K101" s="9"/>
      <c r="L101" s="9"/>
      <c r="M101" s="9"/>
      <c r="N101" s="9"/>
      <c r="O101" s="9"/>
      <c r="P101" s="9"/>
      <c r="Q101" s="9"/>
      <c r="R101" s="9"/>
      <c r="S101" s="9"/>
      <c r="T101" s="9"/>
      <c r="U101" s="9"/>
      <c r="V101" s="9"/>
    </row>
    <row r="102" spans="1:125" x14ac:dyDescent="0.35">
      <c r="A102" s="13" t="s">
        <v>11</v>
      </c>
      <c r="B102" s="20" t="s">
        <v>18</v>
      </c>
      <c r="C102" s="20" t="s">
        <v>19</v>
      </c>
      <c r="D102" s="20" t="s">
        <v>20</v>
      </c>
      <c r="E102" s="20" t="s">
        <v>21</v>
      </c>
      <c r="F102" s="20" t="s">
        <v>22</v>
      </c>
      <c r="G102" s="20" t="s">
        <v>23</v>
      </c>
      <c r="H102" s="20" t="s">
        <v>24</v>
      </c>
      <c r="I102" s="20" t="s">
        <v>25</v>
      </c>
      <c r="J102" s="20" t="s">
        <v>26</v>
      </c>
      <c r="K102" s="20" t="s">
        <v>27</v>
      </c>
      <c r="L102" s="20" t="s">
        <v>28</v>
      </c>
      <c r="M102" s="20" t="s">
        <v>29</v>
      </c>
      <c r="N102" s="20" t="s">
        <v>39</v>
      </c>
      <c r="O102" s="20" t="s">
        <v>40</v>
      </c>
      <c r="P102" s="20" t="s">
        <v>41</v>
      </c>
      <c r="Q102" s="20" t="s">
        <v>42</v>
      </c>
      <c r="R102" s="20" t="s">
        <v>43</v>
      </c>
      <c r="S102" s="20" t="s">
        <v>44</v>
      </c>
      <c r="T102" s="20" t="s">
        <v>45</v>
      </c>
      <c r="U102" s="20" t="s">
        <v>46</v>
      </c>
      <c r="V102" s="20" t="s">
        <v>47</v>
      </c>
      <c r="W102" s="20" t="s">
        <v>48</v>
      </c>
      <c r="X102" s="20" t="s">
        <v>49</v>
      </c>
      <c r="Y102" s="20" t="s">
        <v>50</v>
      </c>
      <c r="Z102" s="20" t="s">
        <v>51</v>
      </c>
      <c r="AA102" s="20" t="s">
        <v>52</v>
      </c>
      <c r="AB102" s="20" t="s">
        <v>53</v>
      </c>
      <c r="AC102" s="20" t="s">
        <v>54</v>
      </c>
      <c r="AD102" s="20" t="s">
        <v>55</v>
      </c>
      <c r="AE102" s="20" t="s">
        <v>56</v>
      </c>
      <c r="AF102" s="20" t="s">
        <v>57</v>
      </c>
      <c r="AG102" s="20" t="s">
        <v>58</v>
      </c>
      <c r="AH102" s="20" t="s">
        <v>59</v>
      </c>
      <c r="AI102" s="20" t="s">
        <v>60</v>
      </c>
      <c r="AJ102" s="20" t="s">
        <v>61</v>
      </c>
      <c r="AK102" s="20" t="s">
        <v>62</v>
      </c>
      <c r="AL102" s="20" t="s">
        <v>63</v>
      </c>
      <c r="AM102" s="20" t="s">
        <v>64</v>
      </c>
      <c r="AN102" s="20" t="s">
        <v>65</v>
      </c>
      <c r="AO102" s="20" t="s">
        <v>66</v>
      </c>
      <c r="AP102" s="20" t="s">
        <v>67</v>
      </c>
      <c r="AQ102" s="20" t="s">
        <v>68</v>
      </c>
      <c r="AR102" s="20" t="s">
        <v>69</v>
      </c>
      <c r="AS102" s="20" t="s">
        <v>70</v>
      </c>
      <c r="AT102" s="20" t="s">
        <v>71</v>
      </c>
      <c r="AU102" s="20" t="s">
        <v>72</v>
      </c>
      <c r="AV102" s="20" t="s">
        <v>73</v>
      </c>
      <c r="AW102" s="20" t="s">
        <v>74</v>
      </c>
      <c r="AX102" s="20" t="s">
        <v>75</v>
      </c>
      <c r="AY102" s="20" t="s">
        <v>76</v>
      </c>
      <c r="AZ102" s="20" t="s">
        <v>77</v>
      </c>
      <c r="BA102" s="20" t="s">
        <v>78</v>
      </c>
      <c r="BB102" s="20" t="s">
        <v>79</v>
      </c>
      <c r="BC102" s="20" t="s">
        <v>80</v>
      </c>
      <c r="BD102" s="20" t="s">
        <v>81</v>
      </c>
      <c r="BE102" s="20" t="s">
        <v>82</v>
      </c>
      <c r="BF102" s="20" t="s">
        <v>83</v>
      </c>
      <c r="BG102" s="20" t="s">
        <v>84</v>
      </c>
      <c r="BH102" s="20" t="s">
        <v>85</v>
      </c>
      <c r="BI102" s="20" t="s">
        <v>86</v>
      </c>
      <c r="BJ102" s="20" t="s">
        <v>87</v>
      </c>
      <c r="BK102" s="20" t="s">
        <v>88</v>
      </c>
      <c r="BL102" s="20" t="s">
        <v>89</v>
      </c>
      <c r="BM102" s="20" t="s">
        <v>90</v>
      </c>
      <c r="BN102" s="20" t="s">
        <v>91</v>
      </c>
      <c r="BO102" s="20" t="s">
        <v>92</v>
      </c>
      <c r="BP102" s="20" t="s">
        <v>93</v>
      </c>
      <c r="BQ102" s="20" t="s">
        <v>94</v>
      </c>
      <c r="BR102" s="20" t="s">
        <v>95</v>
      </c>
      <c r="BS102" s="20" t="s">
        <v>96</v>
      </c>
      <c r="BT102" s="20" t="s">
        <v>97</v>
      </c>
      <c r="BU102" s="20" t="s">
        <v>98</v>
      </c>
      <c r="BV102" s="20" t="s">
        <v>99</v>
      </c>
      <c r="BW102" s="20" t="s">
        <v>100</v>
      </c>
      <c r="BX102" s="20" t="s">
        <v>101</v>
      </c>
      <c r="BY102" s="20" t="s">
        <v>102</v>
      </c>
      <c r="BZ102" s="20" t="s">
        <v>103</v>
      </c>
      <c r="CA102" s="20" t="s">
        <v>104</v>
      </c>
      <c r="CB102" s="20" t="s">
        <v>105</v>
      </c>
      <c r="CC102" s="20" t="s">
        <v>106</v>
      </c>
      <c r="CD102" s="20" t="s">
        <v>107</v>
      </c>
      <c r="CE102" s="20" t="s">
        <v>108</v>
      </c>
      <c r="CF102" s="20" t="s">
        <v>109</v>
      </c>
      <c r="CG102" s="20" t="s">
        <v>110</v>
      </c>
      <c r="CH102" s="20" t="s">
        <v>111</v>
      </c>
      <c r="CI102" s="20" t="s">
        <v>112</v>
      </c>
      <c r="CJ102" s="20" t="s">
        <v>113</v>
      </c>
      <c r="CK102" s="20" t="s">
        <v>114</v>
      </c>
      <c r="CL102" s="20" t="s">
        <v>115</v>
      </c>
      <c r="CM102" s="20" t="s">
        <v>116</v>
      </c>
      <c r="CN102" s="20" t="s">
        <v>117</v>
      </c>
      <c r="CO102" s="20" t="s">
        <v>118</v>
      </c>
      <c r="CP102" s="20" t="s">
        <v>119</v>
      </c>
      <c r="CQ102" s="20" t="s">
        <v>120</v>
      </c>
      <c r="CR102" s="20" t="s">
        <v>121</v>
      </c>
      <c r="CS102" s="20" t="s">
        <v>122</v>
      </c>
      <c r="CT102" s="20" t="s">
        <v>123</v>
      </c>
      <c r="CU102" s="20" t="s">
        <v>124</v>
      </c>
      <c r="CV102" s="20" t="s">
        <v>125</v>
      </c>
      <c r="CW102" s="20" t="s">
        <v>126</v>
      </c>
      <c r="CX102" s="20" t="s">
        <v>127</v>
      </c>
      <c r="CY102" s="20" t="s">
        <v>128</v>
      </c>
      <c r="CZ102" s="20" t="s">
        <v>129</v>
      </c>
      <c r="DA102" s="20" t="s">
        <v>130</v>
      </c>
      <c r="DB102" s="20" t="s">
        <v>131</v>
      </c>
      <c r="DC102" s="20" t="s">
        <v>132</v>
      </c>
      <c r="DD102" s="20" t="s">
        <v>133</v>
      </c>
      <c r="DE102" s="20" t="s">
        <v>134</v>
      </c>
      <c r="DF102" s="20" t="s">
        <v>135</v>
      </c>
      <c r="DG102" s="20" t="s">
        <v>136</v>
      </c>
      <c r="DH102" s="20" t="s">
        <v>137</v>
      </c>
      <c r="DI102" s="20" t="s">
        <v>138</v>
      </c>
      <c r="DJ102" s="20" t="s">
        <v>139</v>
      </c>
      <c r="DK102" s="20" t="s">
        <v>140</v>
      </c>
      <c r="DL102" s="20" t="s">
        <v>141</v>
      </c>
      <c r="DM102" s="20" t="s">
        <v>142</v>
      </c>
      <c r="DN102" s="20" t="s">
        <v>143</v>
      </c>
      <c r="DO102" s="20" t="s">
        <v>144</v>
      </c>
      <c r="DP102" s="20" t="s">
        <v>145</v>
      </c>
      <c r="DQ102" s="21" t="s">
        <v>146</v>
      </c>
      <c r="DR102" s="9"/>
      <c r="DS102" s="9"/>
      <c r="DT102" s="9"/>
      <c r="DU102" s="9"/>
    </row>
    <row r="103" spans="1:125" ht="15" thickBot="1" x14ac:dyDescent="0.4">
      <c r="A103" s="16" t="s">
        <v>10</v>
      </c>
      <c r="B103" s="17">
        <f>IFERROR(
  SUM(INDEX($B$8:$DW$17,0, MATCH(B$102, $B$7:$DW$7, 0))) /
  SUM(INDEX($B$60:$DW$69,0, MATCH(B$102, $B$59:$DW$59, 0))),
"")</f>
        <v>0.18058268683373332</v>
      </c>
      <c r="C103" s="17" cm="1">
        <f t="array" ref="C103">IF(COLUMN()&lt;=13, INDEX($B$99:$M$99, 1, COLUMN()-1), INDEX($N$99:$V$99, 1, 1+INT((COLUMN()-14)/12)))</f>
        <v>0.12287096098390007</v>
      </c>
      <c r="D103" s="17" cm="1">
        <f t="array" ref="D103">IF(COLUMN()&lt;=13, INDEX($B$99:$M$99, 1, COLUMN()-1), INDEX($N$99:$V$99, 1, 1+INT((COLUMN()-14)/12)))</f>
        <v>0.12432755750270572</v>
      </c>
      <c r="E103" s="17" cm="1">
        <f t="array" ref="E103">IF(COLUMN()&lt;=13, INDEX($B$99:$M$99, 1, COLUMN()-1), INDEX($N$99:$V$99, 1, 1+INT((COLUMN()-14)/12)))</f>
        <v>8.9941014388939006E-2</v>
      </c>
      <c r="F103" s="17" cm="1">
        <f t="array" ref="F103">IF(COLUMN()&lt;=13, INDEX($B$99:$M$99, 1, COLUMN()-1), INDEX($N$99:$V$99, 1, 1+INT((COLUMN()-14)/12)))</f>
        <v>7.2739160291154945E-2</v>
      </c>
      <c r="G103" s="17" cm="1">
        <f t="array" ref="G103">IF(COLUMN()&lt;=13, INDEX($B$99:$M$99, 1, COLUMN()-1), INDEX($N$99:$V$99, 1, 1+INT((COLUMN()-14)/12)))</f>
        <v>6.9811508037200612E-2</v>
      </c>
      <c r="H103" s="17" cm="1">
        <f t="array" ref="H103">IF(COLUMN()&lt;=13, INDEX($B$99:$M$99, 1, COLUMN()-1), INDEX($N$99:$V$99, 1, 1+INT((COLUMN()-14)/12)))</f>
        <v>6.4181000410703529E-2</v>
      </c>
      <c r="I103" s="17" cm="1">
        <f t="array" ref="I103">IF(COLUMN()&lt;=13, INDEX($B$99:$M$99, 1, COLUMN()-1), INDEX($N$99:$V$99, 1, 1+INT((COLUMN()-14)/12)))</f>
        <v>5.8666256089561594E-2</v>
      </c>
      <c r="J103" s="17" cm="1">
        <f t="array" ref="J103">IF(COLUMN()&lt;=13, INDEX($B$99:$M$99, 1, COLUMN()-1), INDEX($N$99:$V$99, 1, 1+INT((COLUMN()-14)/12)))</f>
        <v>5.7162940865761888E-2</v>
      </c>
      <c r="K103" s="17" cm="1">
        <f t="array" ref="K103">IF(COLUMN()&lt;=13, INDEX($B$99:$M$99, 1, COLUMN()-1), INDEX($N$99:$V$99, 1, 1+INT((COLUMN()-14)/12)))</f>
        <v>5.4759211246351081E-2</v>
      </c>
      <c r="L103" s="17" cm="1">
        <f t="array" ref="L103">IF(COLUMN()&lt;=13, INDEX($B$99:$M$99, 1, COLUMN()-1), INDEX($N$99:$V$99, 1, 1+INT((COLUMN()-14)/12)))</f>
        <v>5.5187671745996758E-2</v>
      </c>
      <c r="M103" s="17" cm="1">
        <f t="array" ref="M103">IF(COLUMN()&lt;=13, INDEX($B$99:$M$99, 1, COLUMN()-1), INDEX($N$99:$V$99, 1, 1+INT((COLUMN()-14)/12)))</f>
        <v>5.3839775655326771E-2</v>
      </c>
      <c r="N103" s="17" cm="1">
        <f t="array" ref="N103">IF(COLUMN()&lt;=13, INDEX($B$99:$M$99, 1, COLUMN()-1), INDEX($N$99:$V$99, 1, 1+INT((COLUMN()-14)/12)))</f>
        <v>4.5159956226205944E-2</v>
      </c>
      <c r="O103" s="17" cm="1">
        <f t="array" ref="O103">IF(COLUMN()&lt;=13, INDEX($B$99:$M$99, 1, COLUMN()-1), INDEX($N$99:$V$99, 1, 1+INT((COLUMN()-14)/12)))</f>
        <v>4.5159956226205944E-2</v>
      </c>
      <c r="P103" s="17" cm="1">
        <f t="array" ref="P103">IF(COLUMN()&lt;=13, INDEX($B$99:$M$99, 1, COLUMN()-1), INDEX($N$99:$V$99, 1, 1+INT((COLUMN()-14)/12)))</f>
        <v>4.5159956226205944E-2</v>
      </c>
      <c r="Q103" s="17" cm="1">
        <f t="array" ref="Q103">IF(COLUMN()&lt;=13, INDEX($B$99:$M$99, 1, COLUMN()-1), INDEX($N$99:$V$99, 1, 1+INT((COLUMN()-14)/12)))</f>
        <v>4.5159956226205944E-2</v>
      </c>
      <c r="R103" s="17" cm="1">
        <f t="array" ref="R103">IF(COLUMN()&lt;=13, INDEX($B$99:$M$99, 1, COLUMN()-1), INDEX($N$99:$V$99, 1, 1+INT((COLUMN()-14)/12)))</f>
        <v>4.5159956226205944E-2</v>
      </c>
      <c r="S103" s="17" cm="1">
        <f t="array" ref="S103">IF(COLUMN()&lt;=13, INDEX($B$99:$M$99, 1, COLUMN()-1), INDEX($N$99:$V$99, 1, 1+INT((COLUMN()-14)/12)))</f>
        <v>4.5159956226205944E-2</v>
      </c>
      <c r="T103" s="17" cm="1">
        <f t="array" ref="T103">IF(COLUMN()&lt;=13, INDEX($B$99:$M$99, 1, COLUMN()-1), INDEX($N$99:$V$99, 1, 1+INT((COLUMN()-14)/12)))</f>
        <v>4.5159956226205944E-2</v>
      </c>
      <c r="U103" s="17" cm="1">
        <f t="array" ref="U103">IF(COLUMN()&lt;=13, INDEX($B$99:$M$99, 1, COLUMN()-1), INDEX($N$99:$V$99, 1, 1+INT((COLUMN()-14)/12)))</f>
        <v>4.5159956226205944E-2</v>
      </c>
      <c r="V103" s="17" cm="1">
        <f t="array" ref="V103">IF(COLUMN()&lt;=13, INDEX($B$99:$M$99, 1, COLUMN()-1), INDEX($N$99:$V$99, 1, 1+INT((COLUMN()-14)/12)))</f>
        <v>4.5159956226205944E-2</v>
      </c>
      <c r="W103" s="17" cm="1">
        <f t="array" ref="W103">IF(COLUMN()&lt;=13, INDEX($B$99:$M$99, 1, COLUMN()-1), INDEX($N$99:$V$99, 1, 1+INT((COLUMN()-14)/12)))</f>
        <v>4.5159956226205944E-2</v>
      </c>
      <c r="X103" s="17" cm="1">
        <f t="array" ref="X103">IF(COLUMN()&lt;=13, INDEX($B$99:$M$99, 1, COLUMN()-1), INDEX($N$99:$V$99, 1, 1+INT((COLUMN()-14)/12)))</f>
        <v>4.5159956226205944E-2</v>
      </c>
      <c r="Y103" s="17" cm="1">
        <f t="array" ref="Y103">IF(COLUMN()&lt;=13, INDEX($B$99:$M$99, 1, COLUMN()-1), INDEX($N$99:$V$99, 1, 1+INT((COLUMN()-14)/12)))</f>
        <v>4.5159956226205944E-2</v>
      </c>
      <c r="Z103" s="17" cm="1">
        <f t="array" ref="Z103">IF(COLUMN()&lt;=13, INDEX($B$99:$M$99, 1, COLUMN()-1), INDEX($N$99:$V$99, 1, 1+INT((COLUMN()-14)/12)))</f>
        <v>2.6291877845010636E-2</v>
      </c>
      <c r="AA103" s="17" cm="1">
        <f t="array" ref="AA103">IF(COLUMN()&lt;=13, INDEX($B$99:$M$99, 1, COLUMN()-1), INDEX($N$99:$V$99, 1, 1+INT((COLUMN()-14)/12)))</f>
        <v>2.6291877845010636E-2</v>
      </c>
      <c r="AB103" s="17" cm="1">
        <f t="array" ref="AB103">IF(COLUMN()&lt;=13, INDEX($B$99:$M$99, 1, COLUMN()-1), INDEX($N$99:$V$99, 1, 1+INT((COLUMN()-14)/12)))</f>
        <v>2.6291877845010636E-2</v>
      </c>
      <c r="AC103" s="17" cm="1">
        <f t="array" ref="AC103">IF(COLUMN()&lt;=13, INDEX($B$99:$M$99, 1, COLUMN()-1), INDEX($N$99:$V$99, 1, 1+INT((COLUMN()-14)/12)))</f>
        <v>2.6291877845010636E-2</v>
      </c>
      <c r="AD103" s="17" cm="1">
        <f t="array" ref="AD103">IF(COLUMN()&lt;=13, INDEX($B$99:$M$99, 1, COLUMN()-1), INDEX($N$99:$V$99, 1, 1+INT((COLUMN()-14)/12)))</f>
        <v>2.6291877845010636E-2</v>
      </c>
      <c r="AE103" s="17" cm="1">
        <f t="array" ref="AE103">IF(COLUMN()&lt;=13, INDEX($B$99:$M$99, 1, COLUMN()-1), INDEX($N$99:$V$99, 1, 1+INT((COLUMN()-14)/12)))</f>
        <v>2.6291877845010636E-2</v>
      </c>
      <c r="AF103" s="17" cm="1">
        <f t="array" ref="AF103">IF(COLUMN()&lt;=13, INDEX($B$99:$M$99, 1, COLUMN()-1), INDEX($N$99:$V$99, 1, 1+INT((COLUMN()-14)/12)))</f>
        <v>2.6291877845010636E-2</v>
      </c>
      <c r="AG103" s="17" cm="1">
        <f t="array" ref="AG103">IF(COLUMN()&lt;=13, INDEX($B$99:$M$99, 1, COLUMN()-1), INDEX($N$99:$V$99, 1, 1+INT((COLUMN()-14)/12)))</f>
        <v>2.6291877845010636E-2</v>
      </c>
      <c r="AH103" s="17" cm="1">
        <f t="array" ref="AH103">IF(COLUMN()&lt;=13, INDEX($B$99:$M$99, 1, COLUMN()-1), INDEX($N$99:$V$99, 1, 1+INT((COLUMN()-14)/12)))</f>
        <v>2.6291877845010636E-2</v>
      </c>
      <c r="AI103" s="17" cm="1">
        <f t="array" ref="AI103">IF(COLUMN()&lt;=13, INDEX($B$99:$M$99, 1, COLUMN()-1), INDEX($N$99:$V$99, 1, 1+INT((COLUMN()-14)/12)))</f>
        <v>2.6291877845010636E-2</v>
      </c>
      <c r="AJ103" s="17" cm="1">
        <f t="array" ref="AJ103">IF(COLUMN()&lt;=13, INDEX($B$99:$M$99, 1, COLUMN()-1), INDEX($N$99:$V$99, 1, 1+INT((COLUMN()-14)/12)))</f>
        <v>2.6291877845010636E-2</v>
      </c>
      <c r="AK103" s="17" cm="1">
        <f t="array" ref="AK103">IF(COLUMN()&lt;=13, INDEX($B$99:$M$99, 1, COLUMN()-1), INDEX($N$99:$V$99, 1, 1+INT((COLUMN()-14)/12)))</f>
        <v>2.6291877845010636E-2</v>
      </c>
      <c r="AL103" s="17" cm="1">
        <f t="array" ref="AL103">IF(COLUMN()&lt;=13, INDEX($B$99:$M$99, 1, COLUMN()-1), INDEX($N$99:$V$99, 1, 1+INT((COLUMN()-14)/12)))</f>
        <v>1.724222462928704E-2</v>
      </c>
      <c r="AM103" s="17" cm="1">
        <f t="array" ref="AM103">IF(COLUMN()&lt;=13, INDEX($B$99:$M$99, 1, COLUMN()-1), INDEX($N$99:$V$99, 1, 1+INT((COLUMN()-14)/12)))</f>
        <v>1.724222462928704E-2</v>
      </c>
      <c r="AN103" s="17" cm="1">
        <f t="array" ref="AN103">IF(COLUMN()&lt;=13, INDEX($B$99:$M$99, 1, COLUMN()-1), INDEX($N$99:$V$99, 1, 1+INT((COLUMN()-14)/12)))</f>
        <v>1.724222462928704E-2</v>
      </c>
      <c r="AO103" s="17" cm="1">
        <f t="array" ref="AO103">IF(COLUMN()&lt;=13, INDEX($B$99:$M$99, 1, COLUMN()-1), INDEX($N$99:$V$99, 1, 1+INT((COLUMN()-14)/12)))</f>
        <v>1.724222462928704E-2</v>
      </c>
      <c r="AP103" s="17" cm="1">
        <f t="array" ref="AP103">IF(COLUMN()&lt;=13, INDEX($B$99:$M$99, 1, COLUMN()-1), INDEX($N$99:$V$99, 1, 1+INT((COLUMN()-14)/12)))</f>
        <v>1.724222462928704E-2</v>
      </c>
      <c r="AQ103" s="17" cm="1">
        <f t="array" ref="AQ103">IF(COLUMN()&lt;=13, INDEX($B$99:$M$99, 1, COLUMN()-1), INDEX($N$99:$V$99, 1, 1+INT((COLUMN()-14)/12)))</f>
        <v>1.724222462928704E-2</v>
      </c>
      <c r="AR103" s="17" cm="1">
        <f t="array" ref="AR103">IF(COLUMN()&lt;=13, INDEX($B$99:$M$99, 1, COLUMN()-1), INDEX($N$99:$V$99, 1, 1+INT((COLUMN()-14)/12)))</f>
        <v>1.724222462928704E-2</v>
      </c>
      <c r="AS103" s="17" cm="1">
        <f t="array" ref="AS103">IF(COLUMN()&lt;=13, INDEX($B$99:$M$99, 1, COLUMN()-1), INDEX($N$99:$V$99, 1, 1+INT((COLUMN()-14)/12)))</f>
        <v>1.724222462928704E-2</v>
      </c>
      <c r="AT103" s="17" cm="1">
        <f t="array" ref="AT103">IF(COLUMN()&lt;=13, INDEX($B$99:$M$99, 1, COLUMN()-1), INDEX($N$99:$V$99, 1, 1+INT((COLUMN()-14)/12)))</f>
        <v>1.724222462928704E-2</v>
      </c>
      <c r="AU103" s="17" cm="1">
        <f t="array" ref="AU103">IF(COLUMN()&lt;=13, INDEX($B$99:$M$99, 1, COLUMN()-1), INDEX($N$99:$V$99, 1, 1+INT((COLUMN()-14)/12)))</f>
        <v>1.724222462928704E-2</v>
      </c>
      <c r="AV103" s="17" cm="1">
        <f t="array" ref="AV103">IF(COLUMN()&lt;=13, INDEX($B$99:$M$99, 1, COLUMN()-1), INDEX($N$99:$V$99, 1, 1+INT((COLUMN()-14)/12)))</f>
        <v>1.724222462928704E-2</v>
      </c>
      <c r="AW103" s="17" cm="1">
        <f t="array" ref="AW103">IF(COLUMN()&lt;=13, INDEX($B$99:$M$99, 1, COLUMN()-1), INDEX($N$99:$V$99, 1, 1+INT((COLUMN()-14)/12)))</f>
        <v>1.724222462928704E-2</v>
      </c>
      <c r="AX103" s="17" cm="1">
        <f t="array" ref="AX103">IF(COLUMN()&lt;=13, INDEX($B$99:$M$99, 1, COLUMN()-1), INDEX($N$99:$V$99, 1, 1+INT((COLUMN()-14)/12)))</f>
        <v>1.0737931468539519E-2</v>
      </c>
      <c r="AY103" s="17" cm="1">
        <f t="array" ref="AY103">IF(COLUMN()&lt;=13, INDEX($B$99:$M$99, 1, COLUMN()-1), INDEX($N$99:$V$99, 1, 1+INT((COLUMN()-14)/12)))</f>
        <v>1.0737931468539519E-2</v>
      </c>
      <c r="AZ103" s="17" cm="1">
        <f t="array" ref="AZ103">IF(COLUMN()&lt;=13, INDEX($B$99:$M$99, 1, COLUMN()-1), INDEX($N$99:$V$99, 1, 1+INT((COLUMN()-14)/12)))</f>
        <v>1.0737931468539519E-2</v>
      </c>
      <c r="BA103" s="17" cm="1">
        <f t="array" ref="BA103">IF(COLUMN()&lt;=13, INDEX($B$99:$M$99, 1, COLUMN()-1), INDEX($N$99:$V$99, 1, 1+INT((COLUMN()-14)/12)))</f>
        <v>1.0737931468539519E-2</v>
      </c>
      <c r="BB103" s="17" cm="1">
        <f t="array" ref="BB103">IF(COLUMN()&lt;=13, INDEX($B$99:$M$99, 1, COLUMN()-1), INDEX($N$99:$V$99, 1, 1+INT((COLUMN()-14)/12)))</f>
        <v>1.0737931468539519E-2</v>
      </c>
      <c r="BC103" s="17" cm="1">
        <f t="array" ref="BC103">IF(COLUMN()&lt;=13, INDEX($B$99:$M$99, 1, COLUMN()-1), INDEX($N$99:$V$99, 1, 1+INT((COLUMN()-14)/12)))</f>
        <v>1.0737931468539519E-2</v>
      </c>
      <c r="BD103" s="17" cm="1">
        <f t="array" ref="BD103">IF(COLUMN()&lt;=13, INDEX($B$99:$M$99, 1, COLUMN()-1), INDEX($N$99:$V$99, 1, 1+INT((COLUMN()-14)/12)))</f>
        <v>1.0737931468539519E-2</v>
      </c>
      <c r="BE103" s="17" cm="1">
        <f t="array" ref="BE103">IF(COLUMN()&lt;=13, INDEX($B$99:$M$99, 1, COLUMN()-1), INDEX($N$99:$V$99, 1, 1+INT((COLUMN()-14)/12)))</f>
        <v>1.0737931468539519E-2</v>
      </c>
      <c r="BF103" s="17" cm="1">
        <f t="array" ref="BF103">IF(COLUMN()&lt;=13, INDEX($B$99:$M$99, 1, COLUMN()-1), INDEX($N$99:$V$99, 1, 1+INT((COLUMN()-14)/12)))</f>
        <v>1.0737931468539519E-2</v>
      </c>
      <c r="BG103" s="17" cm="1">
        <f t="array" ref="BG103">IF(COLUMN()&lt;=13, INDEX($B$99:$M$99, 1, COLUMN()-1), INDEX($N$99:$V$99, 1, 1+INT((COLUMN()-14)/12)))</f>
        <v>1.0737931468539519E-2</v>
      </c>
      <c r="BH103" s="17" cm="1">
        <f t="array" ref="BH103">IF(COLUMN()&lt;=13, INDEX($B$99:$M$99, 1, COLUMN()-1), INDEX($N$99:$V$99, 1, 1+INT((COLUMN()-14)/12)))</f>
        <v>1.0737931468539519E-2</v>
      </c>
      <c r="BI103" s="17" cm="1">
        <f t="array" ref="BI103">IF(COLUMN()&lt;=13, INDEX($B$99:$M$99, 1, COLUMN()-1), INDEX($N$99:$V$99, 1, 1+INT((COLUMN()-14)/12)))</f>
        <v>1.0737931468539519E-2</v>
      </c>
      <c r="BJ103" s="17" cm="1">
        <f t="array" ref="BJ103">IF(COLUMN()&lt;=13, INDEX($B$99:$M$99, 1, COLUMN()-1), INDEX($N$99:$V$99, 1, 1+INT((COLUMN()-14)/12)))</f>
        <v>6.6883708747422776E-3</v>
      </c>
      <c r="BK103" s="17" cm="1">
        <f t="array" ref="BK103">IF(COLUMN()&lt;=13, INDEX($B$99:$M$99, 1, COLUMN()-1), INDEX($N$99:$V$99, 1, 1+INT((COLUMN()-14)/12)))</f>
        <v>6.6883708747422776E-3</v>
      </c>
      <c r="BL103" s="17" cm="1">
        <f t="array" ref="BL103">IF(COLUMN()&lt;=13, INDEX($B$99:$M$99, 1, COLUMN()-1), INDEX($N$99:$V$99, 1, 1+INT((COLUMN()-14)/12)))</f>
        <v>6.6883708747422776E-3</v>
      </c>
      <c r="BM103" s="17" cm="1">
        <f t="array" ref="BM103">IF(COLUMN()&lt;=13, INDEX($B$99:$M$99, 1, COLUMN()-1), INDEX($N$99:$V$99, 1, 1+INT((COLUMN()-14)/12)))</f>
        <v>6.6883708747422776E-3</v>
      </c>
      <c r="BN103" s="17" cm="1">
        <f t="array" ref="BN103">IF(COLUMN()&lt;=13, INDEX($B$99:$M$99, 1, COLUMN()-1), INDEX($N$99:$V$99, 1, 1+INT((COLUMN()-14)/12)))</f>
        <v>6.6883708747422776E-3</v>
      </c>
      <c r="BO103" s="17" cm="1">
        <f t="array" ref="BO103">IF(COLUMN()&lt;=13, INDEX($B$99:$M$99, 1, COLUMN()-1), INDEX($N$99:$V$99, 1, 1+INT((COLUMN()-14)/12)))</f>
        <v>6.6883708747422776E-3</v>
      </c>
      <c r="BP103" s="17" cm="1">
        <f t="array" ref="BP103">IF(COLUMN()&lt;=13, INDEX($B$99:$M$99, 1, COLUMN()-1), INDEX($N$99:$V$99, 1, 1+INT((COLUMN()-14)/12)))</f>
        <v>6.6883708747422776E-3</v>
      </c>
      <c r="BQ103" s="17" cm="1">
        <f t="array" ref="BQ103">IF(COLUMN()&lt;=13, INDEX($B$99:$M$99, 1, COLUMN()-1), INDEX($N$99:$V$99, 1, 1+INT((COLUMN()-14)/12)))</f>
        <v>6.6883708747422776E-3</v>
      </c>
      <c r="BR103" s="17" cm="1">
        <f t="array" ref="BR103">IF(COLUMN()&lt;=13, INDEX($B$99:$M$99, 1, COLUMN()-1), INDEX($N$99:$V$99, 1, 1+INT((COLUMN()-14)/12)))</f>
        <v>6.6883708747422776E-3</v>
      </c>
      <c r="BS103" s="17" cm="1">
        <f t="array" ref="BS103">IF(COLUMN()&lt;=13, INDEX($B$99:$M$99, 1, COLUMN()-1), INDEX($N$99:$V$99, 1, 1+INT((COLUMN()-14)/12)))</f>
        <v>6.6883708747422776E-3</v>
      </c>
      <c r="BT103" s="17" cm="1">
        <f t="array" ref="BT103">IF(COLUMN()&lt;=13, INDEX($B$99:$M$99, 1, COLUMN()-1), INDEX($N$99:$V$99, 1, 1+INT((COLUMN()-14)/12)))</f>
        <v>6.6883708747422776E-3</v>
      </c>
      <c r="BU103" s="17" cm="1">
        <f t="array" ref="BU103">IF(COLUMN()&lt;=13, INDEX($B$99:$M$99, 1, COLUMN()-1), INDEX($N$99:$V$99, 1, 1+INT((COLUMN()-14)/12)))</f>
        <v>6.6883708747422776E-3</v>
      </c>
      <c r="BV103" s="17" cm="1">
        <f t="array" ref="BV103">IF(COLUMN()&lt;=13, INDEX($B$99:$M$99, 1, COLUMN()-1), INDEX($N$99:$V$99, 1, 1+INT((COLUMN()-14)/12)))</f>
        <v>4.1868346126411327E-3</v>
      </c>
      <c r="BW103" s="17" cm="1">
        <f t="array" ref="BW103">IF(COLUMN()&lt;=13, INDEX($B$99:$M$99, 1, COLUMN()-1), INDEX($N$99:$V$99, 1, 1+INT((COLUMN()-14)/12)))</f>
        <v>4.1868346126411327E-3</v>
      </c>
      <c r="BX103" s="17" cm="1">
        <f t="array" ref="BX103">IF(COLUMN()&lt;=13, INDEX($B$99:$M$99, 1, COLUMN()-1), INDEX($N$99:$V$99, 1, 1+INT((COLUMN()-14)/12)))</f>
        <v>4.1868346126411327E-3</v>
      </c>
      <c r="BY103" s="17" cm="1">
        <f t="array" ref="BY103">IF(COLUMN()&lt;=13, INDEX($B$99:$M$99, 1, COLUMN()-1), INDEX($N$99:$V$99, 1, 1+INT((COLUMN()-14)/12)))</f>
        <v>4.1868346126411327E-3</v>
      </c>
      <c r="BZ103" s="17" cm="1">
        <f t="array" ref="BZ103">IF(COLUMN()&lt;=13, INDEX($B$99:$M$99, 1, COLUMN()-1), INDEX($N$99:$V$99, 1, 1+INT((COLUMN()-14)/12)))</f>
        <v>4.1868346126411327E-3</v>
      </c>
      <c r="CA103" s="17" cm="1">
        <f t="array" ref="CA103">IF(COLUMN()&lt;=13, INDEX($B$99:$M$99, 1, COLUMN()-1), INDEX($N$99:$V$99, 1, 1+INT((COLUMN()-14)/12)))</f>
        <v>4.1868346126411327E-3</v>
      </c>
      <c r="CB103" s="17" cm="1">
        <f t="array" ref="CB103">IF(COLUMN()&lt;=13, INDEX($B$99:$M$99, 1, COLUMN()-1), INDEX($N$99:$V$99, 1, 1+INT((COLUMN()-14)/12)))</f>
        <v>4.1868346126411327E-3</v>
      </c>
      <c r="CC103" s="17" cm="1">
        <f t="array" ref="CC103">IF(COLUMN()&lt;=13, INDEX($B$99:$M$99, 1, COLUMN()-1), INDEX($N$99:$V$99, 1, 1+INT((COLUMN()-14)/12)))</f>
        <v>4.1868346126411327E-3</v>
      </c>
      <c r="CD103" s="17" cm="1">
        <f t="array" ref="CD103">IF(COLUMN()&lt;=13, INDEX($B$99:$M$99, 1, COLUMN()-1), INDEX($N$99:$V$99, 1, 1+INT((COLUMN()-14)/12)))</f>
        <v>4.1868346126411327E-3</v>
      </c>
      <c r="CE103" s="17" cm="1">
        <f t="array" ref="CE103">IF(COLUMN()&lt;=13, INDEX($B$99:$M$99, 1, COLUMN()-1), INDEX($N$99:$V$99, 1, 1+INT((COLUMN()-14)/12)))</f>
        <v>4.1868346126411327E-3</v>
      </c>
      <c r="CF103" s="17" cm="1">
        <f t="array" ref="CF103">IF(COLUMN()&lt;=13, INDEX($B$99:$M$99, 1, COLUMN()-1), INDEX($N$99:$V$99, 1, 1+INT((COLUMN()-14)/12)))</f>
        <v>4.1868346126411327E-3</v>
      </c>
      <c r="CG103" s="17" cm="1">
        <f t="array" ref="CG103">IF(COLUMN()&lt;=13, INDEX($B$99:$M$99, 1, COLUMN()-1), INDEX($N$99:$V$99, 1, 1+INT((COLUMN()-14)/12)))</f>
        <v>4.1868346126411327E-3</v>
      </c>
      <c r="CH103" s="17" cm="1">
        <f t="array" ref="CH103">IF(COLUMN()&lt;=13, INDEX($B$99:$M$99, 1, COLUMN()-1), INDEX($N$99:$V$99, 1, 1+INT((COLUMN()-14)/12)))</f>
        <v>2.480299309936318E-3</v>
      </c>
      <c r="CI103" s="17" cm="1">
        <f t="array" ref="CI103">IF(COLUMN()&lt;=13, INDEX($B$99:$M$99, 1, COLUMN()-1), INDEX($N$99:$V$99, 1, 1+INT((COLUMN()-14)/12)))</f>
        <v>2.480299309936318E-3</v>
      </c>
      <c r="CJ103" s="17" cm="1">
        <f t="array" ref="CJ103">IF(COLUMN()&lt;=13, INDEX($B$99:$M$99, 1, COLUMN()-1), INDEX($N$99:$V$99, 1, 1+INT((COLUMN()-14)/12)))</f>
        <v>2.480299309936318E-3</v>
      </c>
      <c r="CK103" s="17" cm="1">
        <f t="array" ref="CK103">IF(COLUMN()&lt;=13, INDEX($B$99:$M$99, 1, COLUMN()-1), INDEX($N$99:$V$99, 1, 1+INT((COLUMN()-14)/12)))</f>
        <v>2.480299309936318E-3</v>
      </c>
      <c r="CL103" s="17" cm="1">
        <f t="array" ref="CL103">IF(COLUMN()&lt;=13, INDEX($B$99:$M$99, 1, COLUMN()-1), INDEX($N$99:$V$99, 1, 1+INT((COLUMN()-14)/12)))</f>
        <v>2.480299309936318E-3</v>
      </c>
      <c r="CM103" s="17" cm="1">
        <f t="array" ref="CM103">IF(COLUMN()&lt;=13, INDEX($B$99:$M$99, 1, COLUMN()-1), INDEX($N$99:$V$99, 1, 1+INT((COLUMN()-14)/12)))</f>
        <v>2.480299309936318E-3</v>
      </c>
      <c r="CN103" s="17" cm="1">
        <f t="array" ref="CN103">IF(COLUMN()&lt;=13, INDEX($B$99:$M$99, 1, COLUMN()-1), INDEX($N$99:$V$99, 1, 1+INT((COLUMN()-14)/12)))</f>
        <v>2.480299309936318E-3</v>
      </c>
      <c r="CO103" s="17" cm="1">
        <f t="array" ref="CO103">IF(COLUMN()&lt;=13, INDEX($B$99:$M$99, 1, COLUMN()-1), INDEX($N$99:$V$99, 1, 1+INT((COLUMN()-14)/12)))</f>
        <v>2.480299309936318E-3</v>
      </c>
      <c r="CP103" s="17" cm="1">
        <f t="array" ref="CP103">IF(COLUMN()&lt;=13, INDEX($B$99:$M$99, 1, COLUMN()-1), INDEX($N$99:$V$99, 1, 1+INT((COLUMN()-14)/12)))</f>
        <v>2.480299309936318E-3</v>
      </c>
      <c r="CQ103" s="17" cm="1">
        <f t="array" ref="CQ103">IF(COLUMN()&lt;=13, INDEX($B$99:$M$99, 1, COLUMN()-1), INDEX($N$99:$V$99, 1, 1+INT((COLUMN()-14)/12)))</f>
        <v>2.480299309936318E-3</v>
      </c>
      <c r="CR103" s="17" cm="1">
        <f t="array" ref="CR103">IF(COLUMN()&lt;=13, INDEX($B$99:$M$99, 1, COLUMN()-1), INDEX($N$99:$V$99, 1, 1+INT((COLUMN()-14)/12)))</f>
        <v>2.480299309936318E-3</v>
      </c>
      <c r="CS103" s="17" cm="1">
        <f t="array" ref="CS103">IF(COLUMN()&lt;=13, INDEX($B$99:$M$99, 1, COLUMN()-1), INDEX($N$99:$V$99, 1, 1+INT((COLUMN()-14)/12)))</f>
        <v>2.480299309936318E-3</v>
      </c>
      <c r="CT103" s="17" cm="1">
        <f t="array" ref="CT103">IF(COLUMN()&lt;=13, INDEX($B$99:$M$99, 1, COLUMN()-1), INDEX($N$99:$V$99, 1, 1+INT((COLUMN()-14)/12)))</f>
        <v>1.3542939781864272E-3</v>
      </c>
      <c r="CU103" s="17" cm="1">
        <f t="array" ref="CU103">IF(COLUMN()&lt;=13, INDEX($B$99:$M$99, 1, COLUMN()-1), INDEX($N$99:$V$99, 1, 1+INT((COLUMN()-14)/12)))</f>
        <v>1.3542939781864272E-3</v>
      </c>
      <c r="CV103" s="17" cm="1">
        <f t="array" ref="CV103">IF(COLUMN()&lt;=13, INDEX($B$99:$M$99, 1, COLUMN()-1), INDEX($N$99:$V$99, 1, 1+INT((COLUMN()-14)/12)))</f>
        <v>1.3542939781864272E-3</v>
      </c>
      <c r="CW103" s="17" cm="1">
        <f t="array" ref="CW103">IF(COLUMN()&lt;=13, INDEX($B$99:$M$99, 1, COLUMN()-1), INDEX($N$99:$V$99, 1, 1+INT((COLUMN()-14)/12)))</f>
        <v>1.3542939781864272E-3</v>
      </c>
      <c r="CX103" s="17" cm="1">
        <f t="array" ref="CX103">IF(COLUMN()&lt;=13, INDEX($B$99:$M$99, 1, COLUMN()-1), INDEX($N$99:$V$99, 1, 1+INT((COLUMN()-14)/12)))</f>
        <v>1.3542939781864272E-3</v>
      </c>
      <c r="CY103" s="17" cm="1">
        <f t="array" ref="CY103">IF(COLUMN()&lt;=13, INDEX($B$99:$M$99, 1, COLUMN()-1), INDEX($N$99:$V$99, 1, 1+INT((COLUMN()-14)/12)))</f>
        <v>1.3542939781864272E-3</v>
      </c>
      <c r="CZ103" s="17" cm="1">
        <f t="array" ref="CZ103">IF(COLUMN()&lt;=13, INDEX($B$99:$M$99, 1, COLUMN()-1), INDEX($N$99:$V$99, 1, 1+INT((COLUMN()-14)/12)))</f>
        <v>1.3542939781864272E-3</v>
      </c>
      <c r="DA103" s="17" cm="1">
        <f t="array" ref="DA103">IF(COLUMN()&lt;=13, INDEX($B$99:$M$99, 1, COLUMN()-1), INDEX($N$99:$V$99, 1, 1+INT((COLUMN()-14)/12)))</f>
        <v>1.3542939781864272E-3</v>
      </c>
      <c r="DB103" s="17" cm="1">
        <f t="array" ref="DB103">IF(COLUMN()&lt;=13, INDEX($B$99:$M$99, 1, COLUMN()-1), INDEX($N$99:$V$99, 1, 1+INT((COLUMN()-14)/12)))</f>
        <v>1.3542939781864272E-3</v>
      </c>
      <c r="DC103" s="17" cm="1">
        <f t="array" ref="DC103">IF(COLUMN()&lt;=13, INDEX($B$99:$M$99, 1, COLUMN()-1), INDEX($N$99:$V$99, 1, 1+INT((COLUMN()-14)/12)))</f>
        <v>1.3542939781864272E-3</v>
      </c>
      <c r="DD103" s="17" cm="1">
        <f t="array" ref="DD103">IF(COLUMN()&lt;=13, INDEX($B$99:$M$99, 1, COLUMN()-1), INDEX($N$99:$V$99, 1, 1+INT((COLUMN()-14)/12)))</f>
        <v>1.3542939781864272E-3</v>
      </c>
      <c r="DE103" s="17" cm="1">
        <f t="array" ref="DE103">IF(COLUMN()&lt;=13, INDEX($B$99:$M$99, 1, COLUMN()-1), INDEX($N$99:$V$99, 1, 1+INT((COLUMN()-14)/12)))</f>
        <v>1.3542939781864272E-3</v>
      </c>
      <c r="DF103" s="17" cm="1">
        <f t="array" ref="DF103">IF(COLUMN()&lt;=13, INDEX($B$99:$M$99, 1, COLUMN()-1), INDEX($N$99:$V$99, 1, 1+INT((COLUMN()-14)/12)))</f>
        <v>2.9667316524284448E-4</v>
      </c>
      <c r="DG103" s="17" cm="1">
        <f t="array" ref="DG103">IF(COLUMN()&lt;=13, INDEX($B$99:$M$99, 1, COLUMN()-1), INDEX($N$99:$V$99, 1, 1+INT((COLUMN()-14)/12)))</f>
        <v>2.9667316524284448E-4</v>
      </c>
      <c r="DH103" s="17" cm="1">
        <f t="array" ref="DH103">IF(COLUMN()&lt;=13, INDEX($B$99:$M$99, 1, COLUMN()-1), INDEX($N$99:$V$99, 1, 1+INT((COLUMN()-14)/12)))</f>
        <v>2.9667316524284448E-4</v>
      </c>
      <c r="DI103" s="17" cm="1">
        <f t="array" ref="DI103">IF(COLUMN()&lt;=13, INDEX($B$99:$M$99, 1, COLUMN()-1), INDEX($N$99:$V$99, 1, 1+INT((COLUMN()-14)/12)))</f>
        <v>2.9667316524284448E-4</v>
      </c>
      <c r="DJ103" s="17" cm="1">
        <f t="array" ref="DJ103">IF(COLUMN()&lt;=13, INDEX($B$99:$M$99, 1, COLUMN()-1), INDEX($N$99:$V$99, 1, 1+INT((COLUMN()-14)/12)))</f>
        <v>2.9667316524284448E-4</v>
      </c>
      <c r="DK103" s="17" cm="1">
        <f t="array" ref="DK103">IF(COLUMN()&lt;=13, INDEX($B$99:$M$99, 1, COLUMN()-1), INDEX($N$99:$V$99, 1, 1+INT((COLUMN()-14)/12)))</f>
        <v>2.9667316524284448E-4</v>
      </c>
      <c r="DL103" s="17" cm="1">
        <f t="array" ref="DL103">IF(COLUMN()&lt;=13, INDEX($B$99:$M$99, 1, COLUMN()-1), INDEX($N$99:$V$99, 1, 1+INT((COLUMN()-14)/12)))</f>
        <v>2.9667316524284448E-4</v>
      </c>
      <c r="DM103" s="17" cm="1">
        <f t="array" ref="DM103">IF(COLUMN()&lt;=13, INDEX($B$99:$M$99, 1, COLUMN()-1), INDEX($N$99:$V$99, 1, 1+INT((COLUMN()-14)/12)))</f>
        <v>2.9667316524284448E-4</v>
      </c>
      <c r="DN103" s="17" cm="1">
        <f t="array" ref="DN103">IF(COLUMN()&lt;=13, INDEX($B$99:$M$99, 1, COLUMN()-1), INDEX($N$99:$V$99, 1, 1+INT((COLUMN()-14)/12)))</f>
        <v>2.9667316524284448E-4</v>
      </c>
      <c r="DO103" s="17" cm="1">
        <f t="array" ref="DO103">IF(COLUMN()&lt;=13, INDEX($B$99:$M$99, 1, COLUMN()-1), INDEX($N$99:$V$99, 1, 1+INT((COLUMN()-14)/12)))</f>
        <v>2.9667316524284448E-4</v>
      </c>
      <c r="DP103" s="17" cm="1">
        <f t="array" ref="DP103">IF(COLUMN()&lt;=13, INDEX($B$99:$M$99, 1, COLUMN()-1), INDEX($N$99:$V$99, 1, 1+INT((COLUMN()-14)/12)))</f>
        <v>2.9667316524284448E-4</v>
      </c>
      <c r="DQ103" s="17" cm="1">
        <f t="array" ref="DQ103">IF(COLUMN()&lt;=13, INDEX($B$99:$M$99, 1, COLUMN()-1), INDEX($N$99:$V$99, 1, 1+INT((COLUMN()-14)/12)))</f>
        <v>2.9667316524284448E-4</v>
      </c>
    </row>
    <row r="105" spans="1:125" ht="15" thickBot="1" x14ac:dyDescent="0.4">
      <c r="A105" s="8" t="s">
        <v>324</v>
      </c>
    </row>
    <row r="106" spans="1:125" ht="241.5" customHeight="1" thickBot="1" x14ac:dyDescent="0.4">
      <c r="A106" s="32"/>
      <c r="B106" s="33"/>
      <c r="C106" s="33"/>
      <c r="D106" s="33"/>
      <c r="E106" s="33"/>
      <c r="F106" s="33"/>
      <c r="G106" s="33"/>
      <c r="H106" s="34"/>
    </row>
    <row r="107" spans="1:125" x14ac:dyDescent="0.35">
      <c r="B107" s="9"/>
      <c r="C107" s="9"/>
      <c r="D107" s="9"/>
      <c r="E107" s="9"/>
      <c r="F107" s="9"/>
      <c r="G107" s="9"/>
      <c r="H107" s="9"/>
      <c r="I107" s="9"/>
      <c r="J107" s="9"/>
      <c r="K107" s="9"/>
    </row>
    <row r="108" spans="1:125" ht="15" thickBot="1" x14ac:dyDescent="0.4">
      <c r="A108" s="8" t="s">
        <v>323</v>
      </c>
    </row>
    <row r="109" spans="1:125" ht="89" customHeight="1" thickBot="1" x14ac:dyDescent="0.4">
      <c r="A109" s="32" t="s">
        <v>332</v>
      </c>
      <c r="B109" s="33"/>
      <c r="C109" s="33"/>
      <c r="D109" s="33"/>
      <c r="E109" s="33"/>
      <c r="F109" s="33"/>
      <c r="G109" s="33"/>
      <c r="H109" s="34"/>
    </row>
  </sheetData>
  <mergeCells count="6">
    <mergeCell ref="B1:C1"/>
    <mergeCell ref="J2:X2"/>
    <mergeCell ref="A106:H106"/>
    <mergeCell ref="A109:H109"/>
    <mergeCell ref="A4:H4"/>
    <mergeCell ref="A91:H9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9602354392929489821B6AC295DE156" ma:contentTypeVersion="4" ma:contentTypeDescription="Create a new document." ma:contentTypeScope="" ma:versionID="ca9ce38b868de901c9b96d5f15edaef9">
  <xsd:schema xmlns:xsd="http://www.w3.org/2001/XMLSchema" xmlns:xs="http://www.w3.org/2001/XMLSchema" xmlns:p="http://schemas.microsoft.com/office/2006/metadata/properties" xmlns:ns3="9b1d7ecd-957c-412f-a4bc-291d0e24e864" targetNamespace="http://schemas.microsoft.com/office/2006/metadata/properties" ma:root="true" ma:fieldsID="a211ed440dbae417ea83549c0eafbec7" ns3:_="">
    <xsd:import namespace="9b1d7ecd-957c-412f-a4bc-291d0e24e86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1d7ecd-957c-412f-a4bc-291d0e24e8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633155-226A-4549-B74F-20D3A0658E6F}">
  <ds:schemaRefs>
    <ds:schemaRef ds:uri="http://schemas.microsoft.com/office/2006/documentManagement/types"/>
    <ds:schemaRef ds:uri="http://www.w3.org/XML/1998/namespace"/>
    <ds:schemaRef ds:uri="http://schemas.microsoft.com/office/2006/metadata/properties"/>
    <ds:schemaRef ds:uri="http://purl.org/dc/terms/"/>
    <ds:schemaRef ds:uri="9b1d7ecd-957c-412f-a4bc-291d0e24e864"/>
    <ds:schemaRef ds:uri="http://purl.org/dc/dcmitype/"/>
    <ds:schemaRef ds:uri="http://schemas.microsoft.com/office/infopath/2007/PartnerControls"/>
    <ds:schemaRef ds:uri="http://schemas.openxmlformats.org/package/2006/metadata/core-properties"/>
    <ds:schemaRef ds:uri="http://purl.org/dc/elements/1.1/"/>
  </ds:schemaRefs>
</ds:datastoreItem>
</file>

<file path=customXml/itemProps2.xml><?xml version="1.0" encoding="utf-8"?>
<ds:datastoreItem xmlns:ds="http://schemas.openxmlformats.org/officeDocument/2006/customXml" ds:itemID="{5FF1DB28-1A6D-4B43-9E93-0D9405FCF39C}">
  <ds:schemaRefs>
    <ds:schemaRef ds:uri="http://schemas.microsoft.com/sharepoint/v3/contenttype/forms"/>
  </ds:schemaRefs>
</ds:datastoreItem>
</file>

<file path=customXml/itemProps3.xml><?xml version="1.0" encoding="utf-8"?>
<ds:datastoreItem xmlns:ds="http://schemas.openxmlformats.org/officeDocument/2006/customXml" ds:itemID="{56D900EA-8A50-47C3-8540-58D86C3E4E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1d7ecd-957c-412f-a4bc-291d0e24e8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Lapse_data</vt:lpstr>
      <vt:lpstr>Death_data</vt:lpstr>
      <vt:lpstr>Inception_data</vt:lpstr>
      <vt:lpstr>Policies_In-Force</vt:lpstr>
      <vt:lpstr>Calcs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Leatherbarrow, Luke</dc:creator>
  <cp:lastModifiedBy>Mr. N Mohube</cp:lastModifiedBy>
  <dcterms:created xsi:type="dcterms:W3CDTF">2025-07-29T11:26:28Z</dcterms:created>
  <dcterms:modified xsi:type="dcterms:W3CDTF">2026-02-03T13:12:21Z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0x01010069602354392929489821B6AC295DE156</vt:lpwstr>
  </property>
</Properties>
</file>